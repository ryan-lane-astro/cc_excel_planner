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ryan\Desktop\"/>
    </mc:Choice>
  </mc:AlternateContent>
  <bookViews>
    <workbookView xWindow="0" yWindow="0" windowWidth="24000" windowHeight="9735"/>
  </bookViews>
  <sheets>
    <sheet name="planner" sheetId="1" r:id="rId1"/>
    <sheet name="standards list" sheetId="2" r:id="rId2"/>
    <sheet name="VARIABLES" sheetId="4" r:id="rId3"/>
  </sheets>
  <functionGroups builtInGroupCount="18"/>
  <definedNames>
    <definedName name="Add_Day">'standards list'!$L$2:$L$12</definedName>
    <definedName name="Hand_Writing">'standards list'!$F$2:$F$25</definedName>
    <definedName name="High_Freq_Words">'standards list'!$B$2:$B$30</definedName>
    <definedName name="Journal">'standards list'!$H$2:$H$82</definedName>
    <definedName name="Lang">'standards list'!$D$2:$D$81</definedName>
    <definedName name="Math">'standards list'!$I$2:$I$29</definedName>
    <definedName name="Phonics">'standards list'!$C$2:$C$61</definedName>
    <definedName name="Science">'standards list'!$J$2:$J$35</definedName>
    <definedName name="Shared_Reading">'standards list'!$A$2:$A$57</definedName>
    <definedName name="Social_Studies">'standards list'!$K$2:$K$53</definedName>
    <definedName name="Spelling">'standards list'!$G$2:$G$29</definedName>
    <definedName name="Writing">'standards list'!$E$2:$E$25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7" i="1" l="1"/>
  <c r="L1" i="2" l="1"/>
  <c r="K1" i="2"/>
  <c r="J1" i="2"/>
  <c r="I1" i="2"/>
  <c r="H1" i="2"/>
  <c r="G1" i="2"/>
  <c r="F1" i="2"/>
  <c r="E1" i="2"/>
  <c r="D1" i="2" l="1"/>
  <c r="C1" i="2"/>
  <c r="Q28" i="1"/>
  <c r="M28" i="1"/>
  <c r="G28" i="1"/>
  <c r="A28" i="1"/>
  <c r="Q30" i="1" l="1"/>
  <c r="Q29" i="1"/>
  <c r="Q27" i="1"/>
  <c r="Q26" i="1"/>
  <c r="Q25" i="1"/>
  <c r="Q24" i="1"/>
  <c r="Q23" i="1"/>
  <c r="Q22" i="1"/>
  <c r="Q21" i="1"/>
  <c r="Q20" i="1"/>
  <c r="Q19" i="1"/>
  <c r="Q18" i="1"/>
  <c r="Q17" i="1"/>
  <c r="Q16" i="1"/>
  <c r="Q15" i="1"/>
  <c r="Q14" i="1"/>
  <c r="Q13" i="1"/>
  <c r="Q12" i="1"/>
  <c r="Q11" i="1"/>
  <c r="Q10" i="1"/>
  <c r="Q9" i="1"/>
  <c r="Q7" i="1"/>
  <c r="Q6" i="1"/>
  <c r="Q5" i="1"/>
  <c r="B1" i="2"/>
  <c r="A1" i="2"/>
  <c r="G30" i="1" l="1"/>
  <c r="G29" i="1"/>
  <c r="G27" i="1"/>
  <c r="G26" i="1"/>
  <c r="G25" i="1"/>
  <c r="G24" i="1"/>
  <c r="G23" i="1"/>
  <c r="G22" i="1"/>
  <c r="G21" i="1"/>
  <c r="G20" i="1"/>
  <c r="G19" i="1"/>
  <c r="G18" i="1"/>
  <c r="G17" i="1"/>
  <c r="G16" i="1"/>
  <c r="G15" i="1"/>
  <c r="G14" i="1"/>
  <c r="G13" i="1"/>
  <c r="G12" i="1"/>
  <c r="G11" i="1"/>
  <c r="G10" i="1"/>
  <c r="G9" i="1"/>
  <c r="G8" i="1"/>
  <c r="G7" i="1"/>
  <c r="M30" i="1" l="1"/>
  <c r="M29" i="1"/>
  <c r="M27" i="1"/>
  <c r="M26" i="1"/>
  <c r="M25" i="1"/>
  <c r="M24" i="1"/>
  <c r="M23" i="1"/>
  <c r="M22" i="1"/>
  <c r="M21" i="1"/>
  <c r="M20" i="1"/>
  <c r="M19" i="1"/>
  <c r="M18" i="1"/>
  <c r="M17" i="1"/>
  <c r="M16" i="1"/>
  <c r="M15" i="1"/>
  <c r="M14" i="1"/>
  <c r="M13" i="1"/>
  <c r="M12" i="1"/>
  <c r="M11" i="1"/>
  <c r="M10" i="1"/>
  <c r="M9" i="1"/>
  <c r="M8" i="1"/>
  <c r="M6" i="1"/>
  <c r="G6" i="1"/>
  <c r="A6" i="1"/>
  <c r="A7" i="1"/>
  <c r="A8" i="1"/>
  <c r="A9" i="1"/>
  <c r="A10" i="1"/>
  <c r="A11" i="1"/>
  <c r="A12" i="1"/>
  <c r="A13" i="1"/>
  <c r="A14" i="1"/>
  <c r="A15" i="1"/>
  <c r="A16" i="1"/>
  <c r="A17" i="1"/>
  <c r="A18" i="1"/>
  <c r="A19" i="1"/>
  <c r="A20" i="1"/>
  <c r="A21" i="1"/>
  <c r="A22" i="1"/>
  <c r="A23" i="1"/>
  <c r="A24" i="1"/>
  <c r="A25" i="1"/>
  <c r="A26" i="1"/>
  <c r="A27" i="1"/>
  <c r="A29" i="1"/>
  <c r="A30" i="1"/>
  <c r="C11" i="4"/>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A5" i="1"/>
  <c r="D3" i="4"/>
  <c r="E3" i="4" s="1"/>
  <c r="F3" i="4" s="1"/>
  <c r="G3" i="4" s="1"/>
  <c r="G5" i="1" l="1"/>
  <c r="M5" i="1"/>
</calcChain>
</file>

<file path=xl/connections.xml><?xml version="1.0" encoding="utf-8"?>
<connections xmlns="http://schemas.openxmlformats.org/spreadsheetml/2006/main">
  <connection id="1" name="Handwriting standards" type="6" refreshedVersion="4" background="1">
    <textPr sourceFile="C:\Users\ryan\Downloads\Handwriting standards.txt" delimiter="*">
      <textFields>
        <textField/>
      </textFields>
    </textPr>
  </connection>
  <connection id="2" name="high frequency words" type="6" refreshedVersion="5" background="1" saveData="1">
    <textPr codePage="437" sourceFile="C:\Users\ryan\Desktop\planner\standards\high frequency words.txt" delimited="0">
      <textFields>
        <textField/>
      </textFields>
    </textPr>
  </connection>
  <connection id="3" name="math standards" type="6" refreshedVersion="4" background="1">
    <textPr sourceFile="C:\Users\ryan\Downloads\math standards.txt" tab="0" delimiter="*">
      <textFields>
        <textField/>
      </textFields>
    </textPr>
  </connection>
  <connection id="4" name="reading writing language standards" type="6" refreshedVersion="5" background="1" saveData="1">
    <textPr firstRow="2" sourceFile="C:\Users\ryan\Desktop\planner\standards\reading writing language standards.txt" tab="0" delimiter="*">
      <textFields>
        <textField/>
      </textFields>
    </textPr>
  </connection>
  <connection id="5" name="reading writing language standards1" type="6" refreshedVersion="4" background="1" saveData="1">
    <textPr sourceFile="C:\Users\ryan\Downloads\reading writing language standards.txt" tab="0" delimiter="*">
      <textFields>
        <textField/>
      </textFields>
    </textPr>
  </connection>
  <connection id="6" name="Science Standards" type="6" refreshedVersion="4" background="1" saveData="1">
    <textPr sourceFile="C:\Users\ryan\Downloads\Science Standards.txt" tab="0" delimiter="*">
      <textFields>
        <textField/>
      </textFields>
    </textPr>
  </connection>
  <connection id="7" name="social studies standards" type="6" refreshedVersion="4" background="1" saveData="1">
    <textPr sourceFile="C:\Users\ryan\Downloads\social studies standards.txt" tab="0" delimiter="*">
      <textFields>
        <textField/>
      </textFields>
    </textPr>
  </connection>
  <connection id="8" name="spelling standards" type="6" refreshedVersion="4" background="1" saveData="1">
    <textPr codePage="437" sourceFile="C:\Users\ryan\Downloads\spelling standards.txt" tab="0" delimiter="&amp;">
      <textFields>
        <textField/>
      </textFields>
    </textPr>
  </connection>
  <connection id="9" name="writing standards" type="6" refreshedVersion="4" background="1" saveData="1">
    <textPr sourceFile="C:\Users\ryan\Downloads\writing standards.txt" delimiter="*">
      <textFields>
        <textField/>
      </textFields>
    </textPr>
  </connection>
</connections>
</file>

<file path=xl/sharedStrings.xml><?xml version="1.0" encoding="utf-8"?>
<sst xmlns="http://schemas.openxmlformats.org/spreadsheetml/2006/main" count="567" uniqueCount="242">
  <si>
    <t>Phonics</t>
  </si>
  <si>
    <t>Monday</t>
  </si>
  <si>
    <t>Tuesday</t>
  </si>
  <si>
    <t>Wednesday</t>
  </si>
  <si>
    <t>Thursday</t>
  </si>
  <si>
    <t>Friday</t>
  </si>
  <si>
    <t>Standards to be taught this week</t>
  </si>
  <si>
    <t>Shared Reading</t>
  </si>
  <si>
    <t>Hand Writing</t>
  </si>
  <si>
    <t>Spelling</t>
  </si>
  <si>
    <t>Journal</t>
  </si>
  <si>
    <t>Math</t>
  </si>
  <si>
    <t>Social Studies</t>
  </si>
  <si>
    <t>Cantwell</t>
  </si>
  <si>
    <t>Lane</t>
  </si>
  <si>
    <t>RL.1.1 Ask and answer questions about key details in a text.</t>
  </si>
  <si>
    <t>RL.1.2 Retell stories, including key details, and demonstrate understanding of their central message or lesson.</t>
  </si>
  <si>
    <t>RL.1.3 Describe characters, settings, and major events in a story, using key details.</t>
  </si>
  <si>
    <t>RL.1.4 Identify words and phrases in stories or poems that suggest feelings or appeal to the senses.</t>
  </si>
  <si>
    <t>RL.1.5 Explain major differences between books that tell stories and books that give information, drawing on a wide reading of a range of text types.</t>
  </si>
  <si>
    <t>RL.1.6 Identify who is telling the story at various points in a text.</t>
  </si>
  <si>
    <t>RL.1.7 Use illustrations and details in a story to describe its characters, setting, or events.</t>
  </si>
  <si>
    <t>RL.1.9 Compare and contrast the adventures and experiences of characters in stories.</t>
  </si>
  <si>
    <t>RL.1.10 With prompting and support, read prose and poetry of appropriate complexity for grade 1.</t>
  </si>
  <si>
    <t>L.1.4 Determine or clarify the meaning of unknown and multiple-meaning words and phrases based on grade 1 reading and content, choosing flexibly from an array of strategies.</t>
  </si>
  <si>
    <t>L.1.4a Use sentence-level context as a clue to the meaning of a word or phrase.</t>
  </si>
  <si>
    <t>L.1.4b Use frequently occurring affixes as a clue to the meaning of a word.</t>
  </si>
  <si>
    <t>L.1.4c Identify frequently occurring root words (e.g., look) and their inflectional forms (e.g., looks, looked, looking).</t>
  </si>
  <si>
    <t>L.1.5 With guidance and support from adults, demonstrate understanding of word relationships and nuances in word meanings.</t>
  </si>
  <si>
    <t>L.1.5a Sort words into categories (e.g., colors, clothing) to gain a sense of the concepts the categories represent.</t>
  </si>
  <si>
    <t>L.1.5b Define words by category and by one or more key attributes (e.g., a duck is a bird that swims; a tiger is a large cat with stripes).</t>
  </si>
  <si>
    <t>L.1.5c Identify real-life connections between words and their use (e.g., note places at home that are cozy).</t>
  </si>
  <si>
    <t>L.1.6 Use words and phrases acquired through conversations, reading and being read to, and responding to texts, including using frequently occurring conjunctions to signal simple relationships (e.g., because).</t>
  </si>
  <si>
    <t>RF.1.1 Demonstrate understanding of the organization and basic features of print.</t>
  </si>
  <si>
    <t>RF.1.1a Recognize the distinguishing features of a sentence (e.g., first word, capitalization, ending punctuation).</t>
  </si>
  <si>
    <t>RF.1.2 Demonstrate understanding of spoken words, syllables, and sounds (phonemes).</t>
  </si>
  <si>
    <t>RF.1.2a Distinguish long from short vowel sounds in spoken single-syllable words.</t>
  </si>
  <si>
    <t>RF.1.2b Orally produce single-syllable words by blending sounds (phonemes), including consonant blends.</t>
  </si>
  <si>
    <t>RF.1.2c Isolate and pronounce initial, medial vowel, and final sounds (phonemes) in spoken single-syllable words.</t>
  </si>
  <si>
    <t>RF.1.2d Segment spoken single-syllable words into their complete sequence of individual sounds (phonemes).</t>
  </si>
  <si>
    <t>RF.1.3 Know and apply grade-level phonics and word analysis skills in decoding words.</t>
  </si>
  <si>
    <t>RF.1.3a Know the spelling-sound correspondences for common consonant digraphs.</t>
  </si>
  <si>
    <t>RF.1.3b Decode regularly spelled one-syllable words.</t>
  </si>
  <si>
    <t>RF.1.3c Know final -e and common vowel team conventions for representing long vowel sounds.</t>
  </si>
  <si>
    <t>RF.1.3d Use knowledge that every syllable must have a vowel sound to determine the number of syllables in a printed word.</t>
  </si>
  <si>
    <t>RF.1.3e Decode two-syllable words following basic patterns by breaking the words into syllables.</t>
  </si>
  <si>
    <t>RF.1.3f Read words with inflectional endings.</t>
  </si>
  <si>
    <t>RF.1.3g Recognize and read grade-appropriate irregularly spelled words.</t>
  </si>
  <si>
    <t>RF.1.4 Read with sufficient accuracy and fluency to support comprehension.</t>
  </si>
  <si>
    <t>RF.1.4a Read grade-level text with purpose and understanding.</t>
  </si>
  <si>
    <t>RF.1.4b Read grade-level text orally with accuracy, appropriate rate, and expression on successive readings.</t>
  </si>
  <si>
    <t>RF.1.4c Use context to confirm or self-correct word recognition and understanding, rereading as necessary.</t>
  </si>
  <si>
    <t>SL.1.1 Participate in collaborative conversations with diverse partners about grade 1 topics and texts with peers and adults in small and larger groups.</t>
  </si>
  <si>
    <t>SL.1.1a Follow agreed-upon rules for discussions (e.g., listening to others with care, speaking one at a time about the topics and texts under discussion).</t>
  </si>
  <si>
    <t>SL.1.1b Build on others’ talk in conversations by responding to the comments of others through multiple exchanges.</t>
  </si>
  <si>
    <t>SL.1.1c Ask questions to clear up any confusion about the topics and texts under discussion.</t>
  </si>
  <si>
    <t>SL.1.2 Ask and answer questions about key details in a text read aloud or information presented orally or through other media.</t>
  </si>
  <si>
    <t>SL.1.3 Ask and answer questions about what a speaker says in order to gather additional information or clarify something that is not understood.</t>
  </si>
  <si>
    <t>SL.1.4 Describe people, places, things, and events with relevant details, expressing ideas and feelings clearly.</t>
  </si>
  <si>
    <t>SL.1.5 Add drawings or other visual displays to descriptions when appropriate to clarify ideas, thoughts, and feelings.</t>
  </si>
  <si>
    <t>SL.1.6 Produce complete sentences when appropriate to task and situation. (See grade 1 Language standards 1 and 3 here for specific expectations.)</t>
  </si>
  <si>
    <t>Writing</t>
  </si>
  <si>
    <t>Science</t>
  </si>
  <si>
    <t>Schedule</t>
  </si>
  <si>
    <t>Recess: 0900-0920; Lunch: 1020-1050; Music: 1240-1330</t>
  </si>
  <si>
    <t>Number of Rows</t>
  </si>
  <si>
    <t>Number of Columns</t>
  </si>
  <si>
    <t>Rows Headings</t>
  </si>
  <si>
    <t>Columns Headings</t>
  </si>
  <si>
    <t>Standards Taught</t>
  </si>
  <si>
    <t>Column Numbers</t>
  </si>
  <si>
    <t>Row Numbers</t>
  </si>
  <si>
    <t>Day of Week</t>
  </si>
  <si>
    <t>Standards List</t>
  </si>
  <si>
    <t>Above</t>
  </si>
  <si>
    <t>Add. Day</t>
  </si>
  <si>
    <t>High Freq. Words</t>
  </si>
  <si>
    <t>Lang.</t>
  </si>
  <si>
    <t>Day</t>
  </si>
  <si>
    <t>Rec:0900-9:20;Lun:1020-1050;Comp:1150-1250</t>
  </si>
  <si>
    <t>Rec:0900-0920;Lun:1020-1050;Comp:1150-1250</t>
  </si>
  <si>
    <t>Rec:0900-0920;Lun:1020-1050;Art:1150-1230</t>
  </si>
  <si>
    <t>Rec:0900-0920;Lun:1020-1050;PE:1210-1310</t>
  </si>
  <si>
    <t>Rec:0900-0920;Lun:1020-1050;Lib:1330-1430</t>
  </si>
  <si>
    <t>Rl.1.1 Ask and answer questions about key details in a text.</t>
  </si>
  <si>
    <t>Rl.1.2 Identify the main topic and retell key details of a text.</t>
  </si>
  <si>
    <t>Rl.1.3 Describe the connection between two individuals, events, ideas, or pieces of information in a text.</t>
  </si>
  <si>
    <t>Rl.1.4 Ask and answer questions to help determine or clarify the meaning of words and phrases in a text.</t>
  </si>
  <si>
    <t>Rl.1.7 Use the illustrations and details in a text to describe its key ideas.</t>
  </si>
  <si>
    <t>Rl.1.8 Identify the reasons an author gives to support points in a text.</t>
  </si>
  <si>
    <t>Rl.1.10 With prompting and support, read informational texts appropriately complex for grade 1.</t>
  </si>
  <si>
    <t>Phonics and Word Recognition</t>
  </si>
  <si>
    <t>Rl.1.5 Know and use various text features (e.g., headings, tables of contents, glossaries, electronic menus, icons) to locate key facts or information in a text.</t>
  </si>
  <si>
    <t>Rl.1.6 Distinguish between information provided by pictures or other illustrations and information provided by the words in a text.</t>
  </si>
  <si>
    <t>Rl.1.9 Identify basic similarities in and differences between two texts on the same topic (e.g., in illustrations, descriptions, or procedures).</t>
  </si>
  <si>
    <t>shared_reading</t>
  </si>
  <si>
    <t>high_frequency_words</t>
  </si>
  <si>
    <t>W.1.2 Write informative/explanatory texts in which they name a topic, supply some facts about the topic, and provide some sense of closure.</t>
  </si>
  <si>
    <t>L.1.1 Demonstrate command of the conventions of standard English grammar and usage when writing or speaking.</t>
  </si>
  <si>
    <t>L.1.1a Print all upper- and lowercase letters.</t>
  </si>
  <si>
    <t>L.1.1b Use common, proper, and possessive nouns.</t>
  </si>
  <si>
    <t>L.1.1c Use singular and plural nouns with matching verbs in basic sentences (e.g., He hops; We hop).</t>
  </si>
  <si>
    <t>L.1.1d Use personal, possessive, and indefinite pronouns (e.g., I, me, my; they, them, their, anyone, everything).</t>
  </si>
  <si>
    <t>L.1.1f Use frequently occurring adjectives.</t>
  </si>
  <si>
    <t>L.1.1g Use frequently occurring conjunctions (e.g., and, but, or, so, because).</t>
  </si>
  <si>
    <t>L.1.1h Use determiners (e.g., articles, demonstratives).</t>
  </si>
  <si>
    <t>L.1.1i Use frequently occurring prepositions (e.g., during, beyond, toward).</t>
  </si>
  <si>
    <t>L.1.2 Demonstrate command of the conventions of standard English capitalization, punctuation, and spelling when writing.</t>
  </si>
  <si>
    <t>L.1.2a Capitalize dates and names of people.</t>
  </si>
  <si>
    <t>L.1.2b Use end punctuation for sentences.</t>
  </si>
  <si>
    <t>L.1.2c Use commas in dates and to separate single words in a series.</t>
  </si>
  <si>
    <t>L.1.2d Use conventional spelling for words with common spelling patterns and for frequently occurring irregular words.</t>
  </si>
  <si>
    <t>L.1.2e Spell untaught words phonetically, drawing on phonemic awareness and spelling conventions.</t>
  </si>
  <si>
    <t>W.1.1 Write opinion pieces in which they introduce the topic or name the book they are writing about, state an opinion, supply a reason for the opinion, and provide some sense of closure.</t>
  </si>
  <si>
    <t>W.1.3 Write narratives in which they recount two or more appropriately sequenced events, include some details regarding what happened, use temporal words to signal event order, and provide some sense of closure.</t>
  </si>
  <si>
    <t>W.1.5 With guidance and support from adults, focus on a topic, respond to questions and suggestions from peers, and add details to strengthen writing as needed.</t>
  </si>
  <si>
    <t>W.1.6 With guidance and support from adults, use a variety of digital tools to produce and publish writing, including in collaboration with peers.</t>
  </si>
  <si>
    <t>W.1.7 Participate in shared research and writing projects (e.g., explore a number of “how-to” books on a given topic and use them to write a sequence of instructions).</t>
  </si>
  <si>
    <t>W.1.8 With guidance and support from adults, recall information from experiences or gather information from provided sources to answer a question.</t>
  </si>
  <si>
    <t>L.1.1e Use verbs to convey a sense of past, present, and future (e.g., Yesterday I walked home; Today I walk home; Tomorrow I will walk home).</t>
  </si>
  <si>
    <t>L.1.1j Produce and expand complete simple and compound declarative, interrogative, imperative, and exclamatory sentences in response to prompts.</t>
  </si>
  <si>
    <t>L.1.5d Distinguish shades of meaning among verbs differing in manner (e.g., look, peek, glance, stare, glare, scowl) and adjectives differing in intensity (e.g., large, gigantic) by defining or choosing them or by acting out the meanings.</t>
  </si>
  <si>
    <t xml:space="preserve"> </t>
  </si>
  <si>
    <t>Reading Foundational Skills</t>
  </si>
  <si>
    <t xml:space="preserve">1.OA.D.8 Represent and solve problems involving addition and subtraction. </t>
  </si>
  <si>
    <t>1.OA.A.1 Use addition and subtraction within 20 to solve word problems involving situations of adding to, taking from, putting together, taking apart, and comparing, with unknowns in all positions, e.g., by using objects, drawings, and equations with a symbol for the unknown number to represent the problem.1</t>
  </si>
  <si>
    <t>1.OA.A.2 Solve word problems that call for addition of three whole numbers whose sum is less than or equal to 20, e.g., by using objects, drawings, and equations with a symbol for the unknown number to represent the problem.</t>
  </si>
  <si>
    <t xml:space="preserve">Understand and apply properties of operations and the relationship between addition and subtraction. </t>
  </si>
  <si>
    <t xml:space="preserve">1.OA.B.3 Apply properties of operations as strategies to add and subtract.2 Examples: If 8 + 3 = 11 is known, then 3 + 8 = 11 is also known. (Commutative property of addition.) To add 2 + 6 + 4, the second two numbers can be added to make a ten, so 2 + 6 + 4 = 2 + 10 = 12. (Associative property of addition.) </t>
  </si>
  <si>
    <t>1.OA.B.4 Understand subtraction as an unknown-addend problem. For example, subtract 10 – 8 by finding the number that makes 10 when added to 8.</t>
  </si>
  <si>
    <t>1.OA.C.5 Relate counting to addition and subtraction (e.g., by counting on 2 to add 2).</t>
  </si>
  <si>
    <t>1.OA.C.6 Add and subtract within 20, demonstrating fluency for addition and subtraction within 10. Use strategies such as counting on; making ten (e.g., 8 + 6 = 8 + 2 + 4 = 10 + 4 = 14); decomposing a number leading to a ten (e.g., 13 – 4 = 13 – 3 – 1 = 10 – 1 = 9); using the relationship between addition and subtraction (e.g., knowing that 8 + 4 = 12, one knows 12 – 8 = 4); and creating equivalent but easier or known sums (e.g., adding 6 + 7 by creating the known equivalent 6 + 6 + 1 = 12 + 1 = 13).</t>
  </si>
  <si>
    <t>1.OA.D.7 Understand the meaning of the equal sign, and determine if equations involving addition and subtraction are true or false. For example, which of the following equations are true and which are false? 6 = 6, 7 = 8 – 1, 5 + 2 = 2 + 5, 4 + 1 = 5 + 2.</t>
  </si>
  <si>
    <t>1.OA.D.8 Determine the unknown whole number in an addition or subtraction equation relating three whole numbers. For example, determine the unknown number that makes the equation true in each of the equations 8 + ? = 11, 5 = _ – 3, 6 + 6 = _.</t>
  </si>
  <si>
    <t>1.NBT.A.1 Count to 120, starting at any number less than 120. In this range, read and write numerals and represent a number of objects with a written numeral.</t>
  </si>
  <si>
    <t xml:space="preserve"> Understand place value. </t>
  </si>
  <si>
    <t>1.NBT.B.2 Understand that the two digits of a two-digit number represent amounts of tens and ones. Understand the following as special cases:</t>
  </si>
  <si>
    <t>1.NBT.B.2a 10 can be thought of as a bundle of ten ones — called a “ten.”</t>
  </si>
  <si>
    <t>1.NBT.B.2b The numbers from 11 to 19 are composed of a ten and one, two, three, four, five, six, seven, eight, or nine ones.</t>
  </si>
  <si>
    <t>1.NBT.B.2c The numbers 10, 20, 30, 40, 50, 60, 70, 80, 90 refer to one, two, three, four, five, six, seven, eight, or nine tens (and 0 ones).</t>
  </si>
  <si>
    <t>1.NBT.B.3 Compare two two-digit numbers based on meanings of the tens and ones digits, recording the results of comparisons with the symbols &gt;, =, and &lt;.</t>
  </si>
  <si>
    <t>1.NBT.C.4 Add within 100, including adding a two-digit number and a one-digit number, and adding a two-digit number and a multiple of 10, using concrete models or drawings and strategies based on place value, properties of operations, and/or the relationship between addition and subtraction; relate the strategy to a written method and explain the reasoning used. Understand that in adding two-digit numbers, one adds tens and tens, ones and ones; and sometimes it is necessary to compose a ten.</t>
  </si>
  <si>
    <t>1.NBT.C.5 Given a two-digit number, mentally find 10 more or 10 less than the number, without having to count; explain the reasoning used.</t>
  </si>
  <si>
    <t>1.NBT.C.6 Subtract multiples of 10 in the range 10-90 from multiples of 10 in the range 10-90 (positive or zero differences), using concrete models or drawings and strategies based on place value, properties of operations, and/or the relationship between addition and subtraction; relate the strategy to a written method and explain the reasoning used.</t>
  </si>
  <si>
    <t>1.MD.A.1 Order three objects by length; compare the lengths of two objects indirectly by using a third object.</t>
  </si>
  <si>
    <t>1.MD.A.2 Express the length of an object as a whole number of length units, by laying multiple copies of a shorter object (the length unit) end to end; understand that the length measurement of an object is the number of same-size length units that span it with no gaps or overlaps. Limit to contexts where the object being measured is spanned by a whole number of length units with no gaps or overlaps.</t>
  </si>
  <si>
    <t>1.MD.B.3 Tell and write time in hours and half-hours using analog and digital clocks.</t>
  </si>
  <si>
    <t>1.MD.C.4 Organize, represent, and interpret data with up to three categories; ask and answer questions about the total number of data points, how many in each category, and how many more or less are in one category than in another.</t>
  </si>
  <si>
    <t>1.G.A.1 Distinguish between defining attributes (e.g., triangles are closed and three-sided) versus non-defining attributes (e.g., color, orientation, overall size); build and draw shapes to possess defining attributes.</t>
  </si>
  <si>
    <t>1.G.A.2 Compose two-dimensional shapes (rectangles, squares, trapezoids, triangles, half-circles, and quarter-circles) or three-dimensional shapes (cubes, right rectangular prisms, right circular cones, and right circular cylinders) to create a composite shape, and compose new shapes from the composite shape.1</t>
  </si>
  <si>
    <t>1.G.A.3 Partition circles and rectangles into two and four equal shares, describe the shares using the words halves, fourths, and quarters, and use the phrases half of, fourth of, and quarter of. Describe the whole as two of, or four of the shares. Understand for these examples that decomposing into more equal shares creates smaller shares.</t>
  </si>
  <si>
    <t>NS.1.1.1 Communicate observations orally, in writing, and in graphic organizers: T-charts  pictographs</t>
  </si>
  <si>
    <t xml:space="preserve">NS.1.1.2 Ask questions based on observations </t>
  </si>
  <si>
    <t xml:space="preserve">NS.1.1.3 Conduct scientific investigations as a class and in teams: lab activities field studies </t>
  </si>
  <si>
    <t>NS.1.1.4 Estimate and measure length and temperature using International System of Units (SI) as a class</t>
  </si>
  <si>
    <t>NS.1.1.5 Collect measurable empirical evidence as a class and in teams</t>
  </si>
  <si>
    <t>NS.1.1.6 Make predictions as a class and in teams based upon empirical evidence  (e.g., predict which object is heavier)</t>
  </si>
  <si>
    <t xml:space="preserve">NS.1.1.7 Use age appropriate equipment and tools in scientific investigations (e.g., balances, hand lenses, rulers, and thermometers) </t>
  </si>
  <si>
    <t>NS.1.1.8 Apply appropriate rules of safety related to daily activities</t>
  </si>
  <si>
    <t>NS.1.1.9 Apply lab safety rules as they relate to specific science lab activities (see Arkansas Lab Safety Guide)</t>
  </si>
  <si>
    <t>LS.2.1.1 Classify animals according to common characteristics (e.g., movement, body coverings, diet)</t>
  </si>
  <si>
    <t>LS.2.1.2 Differentiate between herbivores and carnivores</t>
  </si>
  <si>
    <t xml:space="preserve">LS.2.1.3 Locate the following human body parts: heart •	lungs •	brain •	stomach •muscles •bones </t>
  </si>
  <si>
    <t xml:space="preserve">LS.2.1.4 Locate plant parts: •	leaves 	stems •	flowers roots </t>
  </si>
  <si>
    <t>LS.3.1.1 Illustrate incomplete metamorphosis (e.g., grasshopper)</t>
  </si>
  <si>
    <t>LS.3.1.2 Compare and contrast complete metamorphosis and incomplete metamorphosis</t>
  </si>
  <si>
    <t>LS.4.1.1 Identify some endangered species in Arkansas</t>
  </si>
  <si>
    <t xml:space="preserve">PS.5.1.1 Compare and contrast objects according to the single properties of  size color 	shape 	texture magnetism </t>
  </si>
  <si>
    <t xml:space="preserve">PS.5.1.2 Identify characteristics of solids and liquids </t>
  </si>
  <si>
    <t xml:space="preserve">PS.6.1.1 List orally the various ways that objects can move, including but not limited to straight zig-zag back and forth round and round fast and slow </t>
  </si>
  <si>
    <t>PS.6.1.2 Investigate the relationship between mass and weight (e.g., identical filled and empty containers)</t>
  </si>
  <si>
    <t>PS.7.1.1 Compare natural sources of light (e.g., sun, fireflies, deep sea creatures, fire, lightning) to artificial sources of light (e.g., light bulbs, matches, candles)</t>
  </si>
  <si>
    <t>PS.7.1.2 Investigate the properties of transparent and opaque objects (e.g., plastic wrap and aluminum foil)</t>
  </si>
  <si>
    <t xml:space="preserve">PS.7.1.3 Compare natural sources of heat (e.g., sun, fire, lightning) to artificial sources of heat (e.g., stove, toaster) </t>
  </si>
  <si>
    <t>PS.7.1.4 Chart temperature over time using the Celsius scale</t>
  </si>
  <si>
    <t>PS.7.1.5 Demonstrate methods of producing static electricity (e.g., balloons, shuffling across carpet)</t>
  </si>
  <si>
    <t>PS.7.1.6 Classify materials as magnetic or nonmagnetic</t>
  </si>
  <si>
    <t>PS.7.1.7 Investigate the properties of magnets: •attraction   repulsion</t>
  </si>
  <si>
    <t xml:space="preserve">ESS.8.1.1 Identify the features of major landforms </t>
  </si>
  <si>
    <t xml:space="preserve">ESS.8.1.2 Identify common uses of Earth’s resources </t>
  </si>
  <si>
    <t>ESS.8.1.3 Chart weather conditions every day</t>
  </si>
  <si>
    <t>ESS.8.1.4 Identify the sequence of seasons</t>
  </si>
  <si>
    <t>ESS.8.1.5 Demonstrate safety procedures related to severe weather</t>
  </si>
  <si>
    <t xml:space="preserve">ESS.8.1.6 Read a Celsius thermometer as a class </t>
  </si>
  <si>
    <t xml:space="preserve">ESS.10.1.1 Illustrate the sequence of planets in the solar system </t>
  </si>
  <si>
    <t>G.1.1.1 Identify and locate student’s town/city on an appropriate map</t>
  </si>
  <si>
    <t xml:space="preserve">G.1.1.2 Locate Arkansas on a United States map </t>
  </si>
  <si>
    <t>G.1.1.3 Identify and locate the United States on a world map or globe</t>
  </si>
  <si>
    <t>G.1.1.4 Identify the North and South Poles and the Equator on a map or globe</t>
  </si>
  <si>
    <t xml:space="preserve">G.1.1.5 Recognize that there are seven major continents </t>
  </si>
  <si>
    <t>G.1.1.6 Recognize that there are four major oceans in the world</t>
  </si>
  <si>
    <t>G.1.1.7 Explain how climate, location, and physical surroundings affect the way people live (e.g., food, clothing, shelter, transportation, recreation)</t>
  </si>
  <si>
    <t>G.1.1.8 Understand how and why maps and globes are used</t>
  </si>
  <si>
    <t xml:space="preserve">G.1.1.9 Recognize that pictorial symbols on a map represent real objects </t>
  </si>
  <si>
    <t>G.1.1.10 Show a relationship between places using directional words (e.g., school, home, community)</t>
  </si>
  <si>
    <t>G.1.1.11 Name and label the cardinal directions on a map: •	north•	south•	east •	west</t>
  </si>
  <si>
    <t xml:space="preserve">G.1.1.12 Recognize physical features of maps and globes: •	rivers•	lakes•	oceans•	mountains•	islands•	desert•	coast (e.g., use pictures, visual aids, stories)  </t>
  </si>
  <si>
    <t>G.1.1.13 Illustrate and label a map of a familiar place</t>
  </si>
  <si>
    <t>G.2.1.1 Discuss elements of culture (e.g., food, clothing, housing, language, sports/ recreation, customs, traditions, art, music, religion)</t>
  </si>
  <si>
    <t>G.2.1.2 Explain ways in which the location of a community affects people’s lives, dress, and occupation</t>
  </si>
  <si>
    <t>G.2.1.3 Explain the difference between rural and urban areas</t>
  </si>
  <si>
    <t>G.3.1.1 Recognize reasons people need various types of transportation</t>
  </si>
  <si>
    <t>G.3.1.2 Identify ways to take personal action to protect the environment (e.g., cleaning up litter, recycling, Earth Day, Arbor Day)</t>
  </si>
  <si>
    <t>G.3.1.3 Identify ways in which people depend on the physical environment</t>
  </si>
  <si>
    <t>C.4.1.1 Understand that government is an organized form of rules and procedures</t>
  </si>
  <si>
    <t>C.4.1.2 Explain the importance of government in the classroom and school</t>
  </si>
  <si>
    <t>C.4.1.3 Discuss the roles of people in families and schools who hold positions of authority</t>
  </si>
  <si>
    <t>C.4.1.4 Discuss the basic role of the current president of the United States and current governor of Arkansas</t>
  </si>
  <si>
    <t>C.5.1.1 Identify and discuss national symbols that represent American democracy:•	American flag•	Bald Eagle•	Statue of Liberty •	White House•	United States Constitution</t>
  </si>
  <si>
    <t>C.5.1.2 Demonstrate the rights and responsibilities of being a good citizen (e.g., politeness, reliability, fairness, honesty, patriotism)</t>
  </si>
  <si>
    <t xml:space="preserve">C.5.1.3 Discuss the voting process as it relates to an election </t>
  </si>
  <si>
    <t xml:space="preserve">C.5.1.4 Demonstrate the appropriate procedures for reciting the Pledge of Allegiance: •	standing up straight•	placing the right hand over heart •	removing hats •	observing location of the flag </t>
  </si>
  <si>
    <t>H.6.1.1 Identify people and events observed in national celebrations and holidays: •	Labor Day •	Veteran’s Day •	Thanksgiving •	Columbus Day •	Martin Luther King, Jr. Day •	President’s Day •	Independence Day •	Constitution Day</t>
  </si>
  <si>
    <t>H.6.1.2 Identify state symbols of Arkansas: •	flower •	bird •	fruit/vegetable •	folk dance •	instrument</t>
  </si>
  <si>
    <t>H.6.1.3 Identify historical sites of Arkansas  (e.g., Old Washington, Arkansas Post)</t>
  </si>
  <si>
    <t xml:space="preserve">H.6.1.4 Recognize time eq uivalency using chronological terms: •	yesterday/past •	today/present•	tomorrow/ future </t>
  </si>
  <si>
    <t>H.6.1.5 Determine the sequential order of events on a timeline (e.g., school events, holidays, birthday, historical events)</t>
  </si>
  <si>
    <t>H.6.1.6 Explore people and events from the past using primary and secondary sources  (e.g., photos, artifacts, maps)</t>
  </si>
  <si>
    <t>H.6.1.7 Discuss daily life in the past and present</t>
  </si>
  <si>
    <t>H.6.1.8 Recognize that the Pilgrims came to America on the Mayflower and arrived at Plymouth Rock</t>
  </si>
  <si>
    <t xml:space="preserve">H.6.1.9 Understand that the name of Arkansas originated from the Quapaw Indians </t>
  </si>
  <si>
    <t>H.6.1.10 Discuss methods of transportation of today and long ago</t>
  </si>
  <si>
    <t xml:space="preserve">H.6.1.11 Describe the voyage of Christopher Columbus </t>
  </si>
  <si>
    <t>H.6.1.12 Demonstrate the relationship between the American Indians and the Pilgrims  (e.g., play, skit, song)</t>
  </si>
  <si>
    <t>E.7.1.1 Identify the categories and priorities of wants and needs</t>
  </si>
  <si>
    <t>E.7.1.2 Describe how people satisfy basic wants  (e.g., grow food, earn money to buy things, trade with others)</t>
  </si>
  <si>
    <t>E.7.1.3 Determine the relationships between unlimited wants and limited resources (e.g., scarcity)</t>
  </si>
  <si>
    <t>E.8.1.1 Recognize that people are producers of goods and services  (e.g., make a bed, turn in homework, make a craft)</t>
  </si>
  <si>
    <t>E.8.1.2 Recognize that people are consumers of goods and services (e.g., buy a toy, get a haircut, go to a movie)</t>
  </si>
  <si>
    <t>E.8.1.3 Discuss skills and education necessary to perform a job</t>
  </si>
  <si>
    <t>E.8.1.4 Identify uses for natural resources</t>
  </si>
  <si>
    <t>E.8.1.5 Understand that capital resources are the tools of trade (e.g., carpenter uses hammer and nails, painter uses paint)</t>
  </si>
  <si>
    <t>E.9.1.1 Discuss barter as a method of exchange</t>
  </si>
  <si>
    <t>E.9.1.2 Recognize that money is a medium of exchange</t>
  </si>
  <si>
    <t xml:space="preserve">E.9.1.3 Discuss the role of a financial institution </t>
  </si>
  <si>
    <t>E.9.1.4 Understand that the production of any good or service requires: •	natural resources•	human resources•	capital resources</t>
  </si>
  <si>
    <t>E.9.1.5 Recognize that markets exist in various places (e.g., physical locations home, Internet)</t>
  </si>
  <si>
    <t>Hand_Writing</t>
  </si>
  <si>
    <t>Shared_Reading</t>
  </si>
  <si>
    <t>High_Freq_Words</t>
  </si>
  <si>
    <t>Lang</t>
  </si>
  <si>
    <t>Social_Studies</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</si>
</sst>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2"/>
      <color theme="1"/>
      <name val="Calibri"/>
      <family val="2"/>
      <scheme val="minor"/>
    </font>
    <font>
      <sz val="11"/>
      <color rgb="FF000000"/>
      <name val="Calibri"/>
      <family val="2"/>
    </font>
    <font>
      <sz val="10"/>
      <color rgb="FF000000"/>
      <name val="Calibri"/>
      <family val="2"/>
    </font>
    <font>
      <sz val="11"/>
      <color theme="0"/>
      <name val="Calibri"/>
      <family val="2"/>
      <scheme val="minor"/>
    </font>
    <font>
      <sz val="12"/>
      <color theme="1"/>
      <name val="Courier New"/>
      <family val="3"/>
    </font>
    <font>
      <b/>
      <sz val="12"/>
      <color theme="1"/>
      <name val="Courier New"/>
      <family val="3"/>
    </font>
    <font>
      <sz val="11"/>
      <name val="Calibri"/>
      <family val="2"/>
      <scheme val="minor"/>
    </font>
    <font>
      <sz val="12"/>
      <name val="Courier New"/>
      <family val="3"/>
    </font>
    <font>
      <sz val="12"/>
      <color theme="0"/>
      <name val="Courier New"/>
      <family val="3"/>
    </font>
    <font>
      <sz val="48"/>
      <color rgb="FF000000"/>
      <name val="Cordia New"/>
      <family val="2"/>
    </font>
    <font>
      <sz val="12"/>
      <color theme="1"/>
      <name val="Times New Roman"/>
      <family val="1"/>
    </font>
  </fonts>
  <fills count="6">
    <fill>
      <patternFill patternType="none"/>
    </fill>
    <fill>
      <patternFill patternType="gray125"/>
    </fill>
    <fill>
      <patternFill patternType="solid">
        <fgColor theme="0" tint="-0.14996795556505021"/>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2" borderId="0" applyNumberFormat="0" applyBorder="0" applyAlignment="0" applyProtection="0"/>
    <xf numFmtId="0" fontId="4" fillId="3" borderId="0" applyNumberFormat="0" applyBorder="0" applyAlignment="0" applyProtection="0"/>
    <xf numFmtId="0" fontId="8" fillId="4" borderId="0" applyNumberFormat="0" applyBorder="0" applyAlignment="0" applyProtection="0"/>
  </cellStyleXfs>
  <cellXfs count="25">
    <xf numFmtId="0" fontId="0" fillId="0" borderId="0" xfId="0"/>
    <xf numFmtId="0" fontId="1" fillId="0" borderId="0" xfId="0" applyFont="1" applyFill="1" applyBorder="1" applyAlignment="1">
      <alignment wrapText="1"/>
    </xf>
    <xf numFmtId="0" fontId="0" fillId="0" borderId="0" xfId="0" applyAlignment="1">
      <alignment wrapText="1"/>
    </xf>
    <xf numFmtId="0" fontId="8" fillId="4" borderId="0" xfId="3"/>
    <xf numFmtId="0" fontId="0" fillId="0" borderId="0" xfId="0"/>
    <xf numFmtId="0" fontId="8" fillId="2" borderId="0" xfId="1" applyFont="1" applyBorder="1" applyAlignment="1">
      <alignment horizontal="left" wrapText="1"/>
    </xf>
    <xf numFmtId="0" fontId="9" fillId="3" borderId="0" xfId="2" applyFont="1" applyBorder="1" applyAlignment="1">
      <alignment horizontal="left" wrapText="1"/>
    </xf>
    <xf numFmtId="0" fontId="8" fillId="4" borderId="0" xfId="3" applyFont="1" applyBorder="1" applyAlignment="1">
      <alignment horizontal="left" wrapText="1"/>
    </xf>
    <xf numFmtId="0" fontId="5" fillId="0" borderId="0" xfId="0" applyFont="1" applyBorder="1" applyAlignment="1">
      <alignment horizontal="left" wrapText="1"/>
    </xf>
    <xf numFmtId="0" fontId="6" fillId="0" borderId="0" xfId="0" applyFont="1" applyBorder="1" applyAlignment="1">
      <alignment horizontal="left" wrapText="1"/>
    </xf>
    <xf numFmtId="0" fontId="8" fillId="2" borderId="0" xfId="1" applyFont="1" applyBorder="1" applyAlignment="1">
      <alignment horizontal="center" vertical="center" wrapText="1"/>
    </xf>
    <xf numFmtId="0" fontId="8" fillId="4" borderId="0" xfId="3" applyFont="1" applyBorder="1" applyAlignment="1">
      <alignment horizontal="center" vertical="center" wrapText="1"/>
    </xf>
    <xf numFmtId="0" fontId="9" fillId="3" borderId="0" xfId="2" applyFont="1" applyBorder="1" applyAlignment="1">
      <alignment horizontal="center" vertical="center" wrapText="1"/>
    </xf>
    <xf numFmtId="0" fontId="0" fillId="0" borderId="0" xfId="0" applyAlignment="1">
      <alignment horizontal="center" vertical="center" wrapText="1"/>
    </xf>
    <xf numFmtId="0" fontId="5" fillId="0" borderId="0" xfId="0" applyFont="1" applyBorder="1" applyAlignment="1">
      <alignment horizontal="center" vertical="center" wrapText="1"/>
    </xf>
    <xf numFmtId="0" fontId="0" fillId="4" borderId="0" xfId="0" applyFill="1"/>
    <xf numFmtId="0" fontId="8" fillId="0" borderId="0" xfId="1" applyFont="1" applyFill="1" applyBorder="1" applyAlignment="1">
      <alignment horizontal="left" wrapText="1"/>
    </xf>
    <xf numFmtId="0" fontId="11" fillId="0" borderId="1" xfId="0" applyFont="1" applyFill="1" applyBorder="1" applyAlignment="1">
      <alignment vertical="top" wrapText="1"/>
    </xf>
    <xf numFmtId="0" fontId="9" fillId="3" borderId="0" xfId="2" applyFont="1" applyBorder="1" applyAlignment="1">
      <alignment horizontal="left" vertical="top" wrapText="1"/>
    </xf>
    <xf numFmtId="0" fontId="8" fillId="2" borderId="0" xfId="1" applyFont="1" applyBorder="1" applyAlignment="1">
      <alignment horizontal="left" vertical="top" wrapText="1"/>
    </xf>
    <xf numFmtId="0" fontId="5" fillId="0" borderId="0" xfId="0" applyFont="1" applyBorder="1" applyAlignment="1">
      <alignment horizontal="left" vertical="top" wrapText="1"/>
    </xf>
    <xf numFmtId="0" fontId="8" fillId="5" borderId="0" xfId="1" applyFont="1" applyFill="1" applyBorder="1" applyAlignment="1">
      <alignment horizontal="left" vertical="top" wrapText="1"/>
    </xf>
    <xf numFmtId="0" fontId="5" fillId="5" borderId="0" xfId="0" applyFont="1" applyFill="1" applyBorder="1" applyAlignment="1">
      <alignment horizontal="left" vertical="top" wrapText="1"/>
    </xf>
    <xf numFmtId="0" fontId="5" fillId="0" borderId="0" xfId="0" applyFont="1" applyFill="1" applyBorder="1" applyAlignment="1">
      <alignment horizontal="left" vertical="top" wrapText="1"/>
    </xf>
    <xf numFmtId="49" fontId="0" fillId="0" borderId="0" xfId="0" applyNumberFormat="1" applyAlignment="1">
      <alignment wrapText="1"/>
    </xf>
  </cellXfs>
  <cellStyles count="4">
    <cellStyle name="Bad" xfId="2" builtinId="27" customBuiltin="1"/>
    <cellStyle name="Good" xfId="1" builtinId="26" customBuiltin="1"/>
    <cellStyle name="Neutral" xfId="3" builtinId="28" customBuilti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76200</xdr:colOff>
          <xdr:row>6</xdr:row>
          <xdr:rowOff>352425</xdr:rowOff>
        </xdr:from>
        <xdr:to>
          <xdr:col>21</xdr:col>
          <xdr:colOff>9525</xdr:colOff>
          <xdr:row>6</xdr:row>
          <xdr:rowOff>1047750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Shared Read.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10</xdr:row>
          <xdr:rowOff>438150</xdr:rowOff>
        </xdr:from>
        <xdr:to>
          <xdr:col>20</xdr:col>
          <xdr:colOff>1828800</xdr:colOff>
          <xdr:row>10</xdr:row>
          <xdr:rowOff>1076325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Phonics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12</xdr:row>
          <xdr:rowOff>457200</xdr:rowOff>
        </xdr:from>
        <xdr:to>
          <xdr:col>20</xdr:col>
          <xdr:colOff>1809750</xdr:colOff>
          <xdr:row>12</xdr:row>
          <xdr:rowOff>1085850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Add Language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1371600</xdr:colOff>
          <xdr:row>0</xdr:row>
          <xdr:rowOff>0</xdr:rowOff>
        </xdr:from>
        <xdr:to>
          <xdr:col>18</xdr:col>
          <xdr:colOff>4552950</xdr:colOff>
          <xdr:row>2</xdr:row>
          <xdr:rowOff>276225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64008" tIns="150876" rIns="64008" bIns="150876" anchor="ctr" upright="1"/>
            <a:lstStyle/>
            <a:p>
              <a:pPr algn="ctr" rtl="0">
                <a:defRPr sz="1000"/>
              </a:pPr>
              <a:r>
                <a:rPr lang="en-US" sz="4800" b="0" i="0" u="none" strike="noStrike" baseline="0">
                  <a:solidFill>
                    <a:srgbClr val="000000"/>
                  </a:solidFill>
                  <a:latin typeface="Cordia New"/>
                  <a:cs typeface="Cordia New"/>
                </a:rPr>
                <a:t>Make Printable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14</xdr:row>
          <xdr:rowOff>361950</xdr:rowOff>
        </xdr:from>
        <xdr:to>
          <xdr:col>20</xdr:col>
          <xdr:colOff>1743075</xdr:colOff>
          <xdr:row>14</xdr:row>
          <xdr:rowOff>1181100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Writing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8</xdr:row>
          <xdr:rowOff>447675</xdr:rowOff>
        </xdr:from>
        <xdr:to>
          <xdr:col>20</xdr:col>
          <xdr:colOff>1714500</xdr:colOff>
          <xdr:row>8</xdr:row>
          <xdr:rowOff>1181100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High Freq Word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16</xdr:row>
          <xdr:rowOff>333375</xdr:rowOff>
        </xdr:from>
        <xdr:to>
          <xdr:col>20</xdr:col>
          <xdr:colOff>1762125</xdr:colOff>
          <xdr:row>16</xdr:row>
          <xdr:rowOff>1047750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Hand Writing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142875</xdr:colOff>
          <xdr:row>18</xdr:row>
          <xdr:rowOff>457200</xdr:rowOff>
        </xdr:from>
        <xdr:to>
          <xdr:col>20</xdr:col>
          <xdr:colOff>1743075</xdr:colOff>
          <xdr:row>18</xdr:row>
          <xdr:rowOff>1123950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Spelling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20</xdr:row>
          <xdr:rowOff>438150</xdr:rowOff>
        </xdr:from>
        <xdr:to>
          <xdr:col>20</xdr:col>
          <xdr:colOff>1733550</xdr:colOff>
          <xdr:row>20</xdr:row>
          <xdr:rowOff>1123950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Journal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142875</xdr:colOff>
          <xdr:row>22</xdr:row>
          <xdr:rowOff>400050</xdr:rowOff>
        </xdr:from>
        <xdr:to>
          <xdr:col>20</xdr:col>
          <xdr:colOff>1733550</xdr:colOff>
          <xdr:row>22</xdr:row>
          <xdr:rowOff>1123950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Math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161925</xdr:colOff>
          <xdr:row>24</xdr:row>
          <xdr:rowOff>371475</xdr:rowOff>
        </xdr:from>
        <xdr:to>
          <xdr:col>20</xdr:col>
          <xdr:colOff>1762125</xdr:colOff>
          <xdr:row>24</xdr:row>
          <xdr:rowOff>1095375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Science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26</xdr:row>
          <xdr:rowOff>352425</xdr:rowOff>
        </xdr:from>
        <xdr:to>
          <xdr:col>20</xdr:col>
          <xdr:colOff>1676400</xdr:colOff>
          <xdr:row>26</xdr:row>
          <xdr:rowOff>981075</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S. Studies 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28</xdr:row>
          <xdr:rowOff>438150</xdr:rowOff>
        </xdr:from>
        <xdr:to>
          <xdr:col>20</xdr:col>
          <xdr:colOff>1676400</xdr:colOff>
          <xdr:row>28</xdr:row>
          <xdr:rowOff>1162050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Additional Day</a:t>
              </a:r>
            </a:p>
            <a:p>
              <a:pPr algn="ctr" rtl="0">
                <a:defRPr sz="1000"/>
              </a:pPr>
              <a:r>
                <a:rPr lang="en-US" sz="1100" b="0" i="0" u="none" strike="noStrike" baseline="0">
                  <a:solidFill>
                    <a:srgbClr val="000000"/>
                  </a:solidFill>
                  <a:latin typeface="Calibri"/>
                </a:rPr>
                <a:t>Std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K86"/>
  <sheetViews>
    <sheetView tabSelected="1" zoomScaleNormal="100" workbookViewId="0">
      <selection activeCell="C7" sqref="C7"/>
    </sheetView>
  </sheetViews>
  <sheetFormatPr defaultRowHeight="16.5" x14ac:dyDescent="0.3"/>
  <cols>
    <col min="1" max="1" width="16.42578125" style="11" customWidth="1"/>
    <col min="2" max="2" width="0.7109375" style="6" customWidth="1"/>
    <col min="3" max="3" width="85.7109375" style="8" customWidth="1"/>
    <col min="4" max="4" width="0.5703125" style="6" customWidth="1"/>
    <col min="5" max="5" width="85.7109375" style="8" customWidth="1"/>
    <col min="6" max="6" width="0.5703125" style="6" customWidth="1"/>
    <col min="7" max="7" width="16.28515625" style="8" customWidth="1"/>
    <col min="8" max="8" width="0.5703125" style="6" customWidth="1"/>
    <col min="9" max="9" width="85.85546875" style="8" customWidth="1"/>
    <col min="10" max="10" width="0.5703125" style="6" customWidth="1"/>
    <col min="11" max="11" width="85.7109375" style="8" customWidth="1"/>
    <col min="12" max="12" width="0.5703125" style="6" customWidth="1"/>
    <col min="13" max="13" width="16.28515625" style="9" customWidth="1"/>
    <col min="14" max="14" width="0.7109375" style="6" customWidth="1"/>
    <col min="15" max="15" width="85.7109375" style="8" customWidth="1"/>
    <col min="16" max="16" width="0.5703125" style="6" customWidth="1"/>
    <col min="17" max="17" width="16.28515625" style="9" customWidth="1"/>
    <col min="18" max="18" width="0.7109375" style="6" customWidth="1"/>
    <col min="19" max="19" width="88.42578125" style="8" customWidth="1"/>
    <col min="20" max="20" width="0.7109375" style="6" customWidth="1"/>
    <col min="21" max="21" width="27.5703125" style="8" customWidth="1"/>
    <col min="22" max="22" width="2.5703125" style="6" customWidth="1"/>
    <col min="23" max="23" width="12.42578125" style="8" customWidth="1"/>
    <col min="24" max="24" width="38.7109375" style="8" customWidth="1"/>
    <col min="25" max="16384" width="9.140625" style="8"/>
  </cols>
  <sheetData>
    <row r="1" spans="1:271" s="5" customFormat="1" ht="26.25" customHeight="1" x14ac:dyDescent="0.25">
      <c r="A1" s="10" t="s">
        <v>63</v>
      </c>
      <c r="B1" s="6"/>
      <c r="D1" s="6"/>
      <c r="F1" s="6"/>
      <c r="G1" s="10" t="s">
        <v>63</v>
      </c>
      <c r="H1" s="6"/>
      <c r="J1" s="6"/>
      <c r="L1" s="6"/>
      <c r="M1" s="10" t="s">
        <v>63</v>
      </c>
      <c r="N1" s="6"/>
      <c r="P1" s="6"/>
      <c r="Q1" s="10" t="s">
        <v>63</v>
      </c>
      <c r="R1" s="6"/>
      <c r="S1" s="16"/>
      <c r="T1" s="6"/>
      <c r="V1" s="6"/>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row>
    <row r="2" spans="1:271" s="7" customFormat="1" ht="24.75" customHeight="1" x14ac:dyDescent="0.25">
      <c r="A2" s="11" t="s">
        <v>13</v>
      </c>
      <c r="B2" s="6"/>
      <c r="C2" s="8" t="s">
        <v>83</v>
      </c>
      <c r="D2" s="6"/>
      <c r="E2" s="8" t="s">
        <v>64</v>
      </c>
      <c r="F2" s="6"/>
      <c r="G2" s="11" t="s">
        <v>13</v>
      </c>
      <c r="H2" s="6"/>
      <c r="I2" s="8" t="s">
        <v>82</v>
      </c>
      <c r="J2" s="6"/>
      <c r="K2" s="8" t="s">
        <v>81</v>
      </c>
      <c r="L2" s="6"/>
      <c r="M2" s="11" t="s">
        <v>13</v>
      </c>
      <c r="N2" s="6"/>
      <c r="O2" s="8" t="s">
        <v>79</v>
      </c>
      <c r="P2" s="6"/>
      <c r="Q2" s="11" t="s">
        <v>13</v>
      </c>
      <c r="R2" s="6"/>
      <c r="S2" s="16"/>
      <c r="T2" s="6"/>
      <c r="V2" s="6"/>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row>
    <row r="3" spans="1:271" s="7" customFormat="1" ht="24.75" customHeight="1" x14ac:dyDescent="0.25">
      <c r="A3" s="11" t="s">
        <v>14</v>
      </c>
      <c r="B3" s="6"/>
      <c r="C3" s="8" t="s">
        <v>83</v>
      </c>
      <c r="D3" s="6"/>
      <c r="E3" s="8" t="s">
        <v>64</v>
      </c>
      <c r="F3" s="6"/>
      <c r="G3" s="11" t="s">
        <v>14</v>
      </c>
      <c r="H3" s="6"/>
      <c r="I3" s="8" t="s">
        <v>82</v>
      </c>
      <c r="J3" s="6"/>
      <c r="K3" s="8" t="s">
        <v>81</v>
      </c>
      <c r="L3" s="6"/>
      <c r="M3" s="11" t="s">
        <v>14</v>
      </c>
      <c r="N3" s="6"/>
      <c r="O3" s="8" t="s">
        <v>80</v>
      </c>
      <c r="P3" s="6"/>
      <c r="Q3" s="11" t="s">
        <v>14</v>
      </c>
      <c r="R3" s="6"/>
      <c r="S3" s="16"/>
      <c r="T3" s="6"/>
      <c r="V3" s="6"/>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c r="IQ3" s="8"/>
      <c r="IR3" s="8"/>
      <c r="IS3" s="8"/>
      <c r="IT3" s="8"/>
      <c r="IU3" s="8"/>
      <c r="IV3" s="8"/>
      <c r="IW3" s="8"/>
      <c r="IX3" s="8"/>
      <c r="IY3" s="8"/>
      <c r="IZ3" s="8"/>
      <c r="JA3" s="8"/>
      <c r="JB3" s="8"/>
      <c r="JC3" s="8"/>
      <c r="JD3" s="8"/>
      <c r="JE3" s="8"/>
      <c r="JF3" s="8"/>
      <c r="JG3" s="8"/>
      <c r="JH3" s="8"/>
      <c r="JI3" s="8"/>
      <c r="JJ3" s="8"/>
      <c r="JK3" s="8"/>
    </row>
    <row r="4" spans="1:271" s="6" customFormat="1" ht="15" customHeight="1" x14ac:dyDescent="0.25">
      <c r="A4" s="12"/>
      <c r="G4" s="12"/>
      <c r="M4" s="12"/>
      <c r="Q4" s="12"/>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c r="FN4" s="8"/>
      <c r="FO4" s="8"/>
      <c r="FP4" s="8"/>
      <c r="FQ4" s="8"/>
      <c r="FR4" s="8"/>
      <c r="FS4" s="8"/>
      <c r="FT4" s="8"/>
      <c r="FU4" s="8"/>
      <c r="FV4" s="8"/>
      <c r="FW4" s="8"/>
      <c r="FX4" s="8"/>
      <c r="FY4" s="8"/>
      <c r="FZ4" s="8"/>
      <c r="GA4" s="8"/>
      <c r="GB4" s="8"/>
      <c r="GC4" s="8"/>
      <c r="GD4" s="8"/>
      <c r="GE4" s="8"/>
      <c r="GF4" s="8"/>
      <c r="GG4" s="8"/>
      <c r="GH4" s="8"/>
      <c r="GI4" s="8"/>
      <c r="GJ4" s="8"/>
      <c r="GK4" s="8"/>
      <c r="GL4" s="8"/>
      <c r="GM4" s="8"/>
      <c r="GN4" s="8"/>
      <c r="GO4" s="8"/>
      <c r="GP4" s="8"/>
      <c r="GQ4" s="8"/>
      <c r="GR4" s="8"/>
      <c r="GS4" s="8"/>
      <c r="GT4" s="8"/>
      <c r="GU4" s="8"/>
      <c r="GV4" s="8"/>
      <c r="GW4" s="8"/>
      <c r="GX4" s="8"/>
      <c r="GY4" s="8"/>
      <c r="GZ4" s="8"/>
      <c r="HA4" s="8"/>
      <c r="HB4" s="8"/>
      <c r="HC4" s="8"/>
      <c r="HD4" s="8"/>
      <c r="HE4" s="8"/>
      <c r="HF4" s="8"/>
      <c r="HG4" s="8"/>
      <c r="HH4" s="8"/>
      <c r="HI4" s="8"/>
      <c r="HJ4" s="8"/>
      <c r="HK4" s="8"/>
      <c r="HL4" s="8"/>
      <c r="HM4" s="8"/>
      <c r="HN4" s="8"/>
      <c r="HO4" s="8"/>
      <c r="HP4" s="8"/>
      <c r="HQ4" s="8"/>
      <c r="HR4" s="8"/>
      <c r="HS4" s="8"/>
      <c r="HT4" s="8"/>
      <c r="HU4" s="8"/>
      <c r="HV4" s="8"/>
      <c r="HW4" s="8"/>
      <c r="HX4" s="8"/>
      <c r="HY4" s="8"/>
      <c r="HZ4" s="8"/>
      <c r="IA4" s="8"/>
      <c r="IB4" s="8"/>
      <c r="IC4" s="8"/>
      <c r="ID4" s="8"/>
      <c r="IE4" s="8"/>
      <c r="IF4" s="8"/>
      <c r="IG4" s="8"/>
      <c r="IH4" s="8"/>
      <c r="II4" s="8"/>
      <c r="IJ4" s="8"/>
      <c r="IK4" s="8"/>
      <c r="IL4" s="8"/>
      <c r="IM4" s="8"/>
      <c r="IN4" s="8"/>
      <c r="IO4" s="8"/>
      <c r="IP4" s="8"/>
      <c r="IQ4" s="8"/>
      <c r="IR4" s="8"/>
      <c r="IS4" s="8"/>
      <c r="IT4" s="8"/>
      <c r="IU4" s="8"/>
      <c r="IV4" s="8"/>
      <c r="IW4" s="8"/>
      <c r="IX4" s="8"/>
      <c r="IY4" s="8"/>
      <c r="IZ4" s="8"/>
      <c r="JA4" s="8"/>
      <c r="JB4" s="8"/>
      <c r="JC4" s="8"/>
      <c r="JD4" s="8"/>
      <c r="JE4" s="8"/>
      <c r="JF4" s="8"/>
      <c r="JG4" s="8"/>
      <c r="JH4" s="8"/>
      <c r="JI4" s="8"/>
      <c r="JJ4" s="8"/>
      <c r="JK4" s="8"/>
    </row>
    <row r="5" spans="1:271" s="7" customFormat="1" ht="24" customHeight="1" x14ac:dyDescent="0.25">
      <c r="A5" s="13" t="str">
        <f>IF(VARIABLES!$B10="","",VARIABLES!$B10)</f>
        <v>Day</v>
      </c>
      <c r="B5" s="6"/>
      <c r="C5" s="7" t="s">
        <v>1</v>
      </c>
      <c r="D5" s="6"/>
      <c r="E5" s="7" t="s">
        <v>2</v>
      </c>
      <c r="F5" s="6"/>
      <c r="G5" s="13" t="str">
        <f>IF(VARIABLES!$B10="","",VARIABLES!$B10)</f>
        <v>Day</v>
      </c>
      <c r="H5" s="6"/>
      <c r="I5" s="7" t="s">
        <v>3</v>
      </c>
      <c r="J5" s="6"/>
      <c r="K5" s="7" t="s">
        <v>4</v>
      </c>
      <c r="L5" s="6"/>
      <c r="M5" s="13" t="str">
        <f>IF(VARIABLES!$B10="","",VARIABLES!$B10)</f>
        <v>Day</v>
      </c>
      <c r="N5" s="6"/>
      <c r="O5" s="7" t="s">
        <v>5</v>
      </c>
      <c r="P5" s="6"/>
      <c r="Q5" s="13" t="str">
        <f>IF(VARIABLES!$B10="","",VARIABLES!$B10)</f>
        <v>Day</v>
      </c>
      <c r="R5" s="6"/>
      <c r="S5" s="7" t="s">
        <v>6</v>
      </c>
      <c r="T5" s="6"/>
      <c r="V5" s="6"/>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c r="FN5" s="8"/>
      <c r="FO5" s="8"/>
      <c r="FP5" s="8"/>
      <c r="FQ5" s="8"/>
      <c r="FR5" s="8"/>
      <c r="FS5" s="8"/>
      <c r="FT5" s="8"/>
      <c r="FU5" s="8"/>
      <c r="FV5" s="8"/>
      <c r="FW5" s="8"/>
      <c r="FX5" s="8"/>
      <c r="FY5" s="8"/>
      <c r="FZ5" s="8"/>
      <c r="GA5" s="8"/>
      <c r="GB5" s="8"/>
      <c r="GC5" s="8"/>
      <c r="GD5" s="8"/>
      <c r="GE5" s="8"/>
      <c r="GF5" s="8"/>
      <c r="GG5" s="8"/>
      <c r="GH5" s="8"/>
      <c r="GI5" s="8"/>
      <c r="GJ5" s="8"/>
      <c r="GK5" s="8"/>
      <c r="GL5" s="8"/>
      <c r="GM5" s="8"/>
      <c r="GN5" s="8"/>
      <c r="GO5" s="8"/>
      <c r="GP5" s="8"/>
      <c r="GQ5" s="8"/>
      <c r="GR5" s="8"/>
      <c r="GS5" s="8"/>
      <c r="GT5" s="8"/>
      <c r="GU5" s="8"/>
      <c r="GV5" s="8"/>
      <c r="GW5" s="8"/>
      <c r="GX5" s="8"/>
      <c r="GY5" s="8"/>
      <c r="GZ5" s="8"/>
      <c r="HA5" s="8"/>
      <c r="HB5" s="8"/>
      <c r="HC5" s="8"/>
      <c r="HD5" s="8"/>
      <c r="HE5" s="8"/>
      <c r="HF5" s="8"/>
      <c r="HG5" s="8"/>
      <c r="HH5" s="8"/>
      <c r="HI5" s="8"/>
      <c r="HJ5" s="8"/>
      <c r="HK5" s="8"/>
      <c r="HL5" s="8"/>
      <c r="HM5" s="8"/>
      <c r="HN5" s="8"/>
      <c r="HO5" s="8"/>
      <c r="HP5" s="8"/>
      <c r="HQ5" s="8"/>
      <c r="HR5" s="8"/>
      <c r="HS5" s="8"/>
      <c r="HT5" s="8"/>
      <c r="HU5" s="8"/>
      <c r="HV5" s="8"/>
      <c r="HW5" s="8"/>
      <c r="HX5" s="8"/>
      <c r="HY5" s="8"/>
      <c r="HZ5" s="8"/>
      <c r="IA5" s="8"/>
      <c r="IB5" s="8"/>
      <c r="IC5" s="8"/>
      <c r="ID5" s="8"/>
      <c r="IE5" s="8"/>
      <c r="IF5" s="8"/>
      <c r="IG5" s="8"/>
      <c r="IH5" s="8"/>
      <c r="II5" s="8"/>
      <c r="IJ5" s="8"/>
      <c r="IK5" s="8"/>
      <c r="IL5" s="8"/>
      <c r="IM5" s="8"/>
      <c r="IN5" s="8"/>
      <c r="IO5" s="8"/>
      <c r="IP5" s="8"/>
      <c r="IQ5" s="8"/>
      <c r="IR5" s="8"/>
      <c r="IS5" s="8"/>
      <c r="IT5" s="8"/>
      <c r="IU5" s="8"/>
      <c r="IV5" s="8"/>
      <c r="IW5" s="8"/>
      <c r="IX5" s="8"/>
      <c r="IY5" s="8"/>
      <c r="IZ5" s="8"/>
      <c r="JA5" s="8"/>
      <c r="JB5" s="8"/>
      <c r="JC5" s="8"/>
      <c r="JD5" s="8"/>
      <c r="JE5" s="8"/>
      <c r="JF5" s="8"/>
      <c r="JG5" s="8"/>
      <c r="JH5" s="8"/>
      <c r="JI5" s="8"/>
      <c r="JJ5" s="8"/>
      <c r="JK5" s="8"/>
    </row>
    <row r="6" spans="1:271" s="5" customFormat="1" ht="15" customHeight="1" x14ac:dyDescent="0.25">
      <c r="A6" s="13" t="str">
        <f>IF(VARIABLES!$B11="","",VARIABLES!$B11)</f>
        <v/>
      </c>
      <c r="B6" s="6"/>
      <c r="D6" s="6"/>
      <c r="F6" s="6"/>
      <c r="G6" s="13" t="str">
        <f>IF(VARIABLES!$B11="","",VARIABLES!$B11)</f>
        <v/>
      </c>
      <c r="H6" s="6"/>
      <c r="J6" s="6"/>
      <c r="L6" s="6"/>
      <c r="M6" s="13" t="str">
        <f>IF(VARIABLES!$B11="","",VARIABLES!$B11)</f>
        <v/>
      </c>
      <c r="N6" s="6"/>
      <c r="P6" s="6"/>
      <c r="Q6" s="13" t="str">
        <f>IF(VARIABLES!$B11="","",VARIABLES!$B11)</f>
        <v/>
      </c>
      <c r="R6" s="6"/>
      <c r="T6" s="6"/>
      <c r="V6" s="6"/>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8"/>
      <c r="IP6" s="8"/>
      <c r="IQ6" s="8"/>
      <c r="IR6" s="8"/>
      <c r="IS6" s="8"/>
      <c r="IT6" s="8"/>
      <c r="IU6" s="8"/>
      <c r="IV6" s="8"/>
      <c r="IW6" s="8"/>
      <c r="IX6" s="8"/>
      <c r="IY6" s="8"/>
      <c r="IZ6" s="8"/>
      <c r="JA6" s="8"/>
      <c r="JB6" s="8"/>
      <c r="JC6" s="8"/>
      <c r="JD6" s="8"/>
      <c r="JE6" s="8"/>
      <c r="JF6" s="8"/>
      <c r="JG6" s="8"/>
      <c r="JH6" s="8"/>
      <c r="JI6" s="8"/>
      <c r="JJ6" s="8"/>
      <c r="JK6" s="8"/>
    </row>
    <row r="7" spans="1:271" ht="113.25" customHeight="1" x14ac:dyDescent="0.25">
      <c r="A7" s="13" t="str">
        <f>IF(VARIABLES!$B12="","",VARIABLES!$B12)</f>
        <v>Shared Reading</v>
      </c>
      <c r="C7" s="17"/>
      <c r="D7" s="18"/>
      <c r="E7" s="17"/>
      <c r="G7" s="13" t="str">
        <f>IF(VARIABLES!$B12="","",VARIABLES!$B12)</f>
        <v>Shared Reading</v>
      </c>
      <c r="I7" s="17"/>
      <c r="J7" s="18"/>
      <c r="K7" s="17"/>
      <c r="M7" s="13" t="str">
        <f>IF(VARIABLES!$B12="","",VARIABLES!$B12)</f>
        <v>Shared Reading</v>
      </c>
      <c r="O7" s="17"/>
      <c r="Q7" s="13" t="str">
        <f>IF(VARIABLES!$B12="","",VARIABLES!$B12)</f>
        <v>Shared Reading</v>
      </c>
      <c r="S7" s="20"/>
    </row>
    <row r="8" spans="1:271" s="5" customFormat="1" ht="52.5" customHeight="1" x14ac:dyDescent="0.25">
      <c r="A8" s="13" t="str">
        <f>IF(VARIABLES!$B13="","",VARIABLES!$B13)</f>
        <v/>
      </c>
      <c r="B8" s="6"/>
      <c r="C8" s="19"/>
      <c r="D8" s="18"/>
      <c r="E8" s="19"/>
      <c r="F8" s="6"/>
      <c r="G8" s="13" t="str">
        <f>IF(VARIABLES!$B13="","",VARIABLES!$B13)</f>
        <v/>
      </c>
      <c r="H8" s="6"/>
      <c r="I8" s="19"/>
      <c r="J8" s="18"/>
      <c r="K8" s="19"/>
      <c r="L8" s="6"/>
      <c r="M8" s="13" t="str">
        <f>IF(VARIABLES!$B13="","",VARIABLES!$B13)</f>
        <v/>
      </c>
      <c r="N8" s="6"/>
      <c r="O8" s="19"/>
      <c r="P8" s="6"/>
      <c r="Q8" s="13"/>
      <c r="R8" s="6"/>
      <c r="S8" s="21"/>
      <c r="T8" s="6"/>
      <c r="U8" s="8"/>
      <c r="V8" s="6"/>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row>
    <row r="9" spans="1:271" ht="113.25" customHeight="1" x14ac:dyDescent="0.25">
      <c r="A9" s="13" t="str">
        <f>IF(VARIABLES!$B14="","",VARIABLES!$B14)</f>
        <v>High Freq. Words</v>
      </c>
      <c r="C9" s="17"/>
      <c r="D9" s="18"/>
      <c r="E9" s="17"/>
      <c r="G9" s="13" t="str">
        <f>IF(VARIABLES!$B14="","",VARIABLES!$B14)</f>
        <v>High Freq. Words</v>
      </c>
      <c r="I9" s="17"/>
      <c r="J9" s="18"/>
      <c r="K9" s="17"/>
      <c r="M9" s="13" t="str">
        <f>IF(VARIABLES!$B14="","",VARIABLES!$B14)</f>
        <v>High Freq. Words</v>
      </c>
      <c r="O9" s="17"/>
      <c r="Q9" s="13" t="str">
        <f>IF(VARIABLES!$B14="","",VARIABLES!$B14)</f>
        <v>High Freq. Words</v>
      </c>
      <c r="S9" s="20"/>
    </row>
    <row r="10" spans="1:271" s="5" customFormat="1" ht="53.25" customHeight="1" x14ac:dyDescent="0.25">
      <c r="A10" s="13" t="str">
        <f>IF(VARIABLES!$B15="","",VARIABLES!$B15)</f>
        <v/>
      </c>
      <c r="B10" s="6"/>
      <c r="C10" s="19"/>
      <c r="D10" s="18"/>
      <c r="E10" s="19"/>
      <c r="F10" s="6"/>
      <c r="G10" s="13" t="str">
        <f>IF(VARIABLES!$B15="","",VARIABLES!$B15)</f>
        <v/>
      </c>
      <c r="H10" s="6"/>
      <c r="I10" s="19"/>
      <c r="J10" s="18"/>
      <c r="K10" s="19"/>
      <c r="L10" s="6"/>
      <c r="M10" s="13" t="str">
        <f>IF(VARIABLES!$B15="","",VARIABLES!$B15)</f>
        <v/>
      </c>
      <c r="N10" s="6"/>
      <c r="O10" s="19"/>
      <c r="P10" s="6"/>
      <c r="Q10" s="13" t="str">
        <f>IF(VARIABLES!$B15="","",VARIABLES!$B15)</f>
        <v/>
      </c>
      <c r="R10" s="6"/>
      <c r="S10" s="21"/>
      <c r="T10" s="6"/>
      <c r="U10" s="8"/>
      <c r="V10" s="6"/>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row>
    <row r="11" spans="1:271" ht="113.25" customHeight="1" x14ac:dyDescent="0.25">
      <c r="A11" s="13" t="str">
        <f>IF(VARIABLES!$B16="","",VARIABLES!$B16)</f>
        <v>Phonics</v>
      </c>
      <c r="C11" s="17"/>
      <c r="D11" s="18"/>
      <c r="E11" s="17"/>
      <c r="G11" s="13" t="str">
        <f>IF(VARIABLES!$B16="","",VARIABLES!$B16)</f>
        <v>Phonics</v>
      </c>
      <c r="I11" s="17"/>
      <c r="J11" s="18"/>
      <c r="K11" s="17"/>
      <c r="M11" s="13" t="str">
        <f>IF(VARIABLES!$B16="","",VARIABLES!$B16)</f>
        <v>Phonics</v>
      </c>
      <c r="O11" s="17"/>
      <c r="Q11" s="13" t="str">
        <f>IF(VARIABLES!$B16="","",VARIABLES!$B16)</f>
        <v>Phonics</v>
      </c>
      <c r="S11" s="20"/>
    </row>
    <row r="12" spans="1:271" s="5" customFormat="1" ht="53.25" customHeight="1" x14ac:dyDescent="0.25">
      <c r="A12" s="13" t="str">
        <f>IF(VARIABLES!$B17="","",VARIABLES!$B17)</f>
        <v/>
      </c>
      <c r="B12" s="6"/>
      <c r="C12" s="19"/>
      <c r="D12" s="18"/>
      <c r="E12" s="19"/>
      <c r="F12" s="6"/>
      <c r="G12" s="13" t="str">
        <f>IF(VARIABLES!$B17="","",VARIABLES!$B17)</f>
        <v/>
      </c>
      <c r="H12" s="6"/>
      <c r="I12" s="19"/>
      <c r="J12" s="18"/>
      <c r="K12" s="19"/>
      <c r="L12" s="6"/>
      <c r="M12" s="13" t="str">
        <f>IF(VARIABLES!$B17="","",VARIABLES!$B17)</f>
        <v/>
      </c>
      <c r="N12" s="6"/>
      <c r="O12" s="19"/>
      <c r="P12" s="6"/>
      <c r="Q12" s="13" t="str">
        <f>IF(VARIABLES!$B17="","",VARIABLES!$B17)</f>
        <v/>
      </c>
      <c r="R12" s="6"/>
      <c r="S12" s="21"/>
      <c r="T12" s="6"/>
      <c r="U12" s="8"/>
      <c r="V12" s="6"/>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row>
    <row r="13" spans="1:271" ht="111" customHeight="1" x14ac:dyDescent="0.25">
      <c r="A13" s="13" t="str">
        <f>IF(VARIABLES!$B18="","",VARIABLES!$B18)</f>
        <v>Lang.</v>
      </c>
      <c r="C13" s="17"/>
      <c r="D13" s="18"/>
      <c r="E13" s="17"/>
      <c r="G13" s="13" t="str">
        <f>IF(VARIABLES!$B18="","",VARIABLES!$B18)</f>
        <v>Lang.</v>
      </c>
      <c r="I13" s="17"/>
      <c r="J13" s="18"/>
      <c r="K13" s="17"/>
      <c r="M13" s="13" t="str">
        <f>IF(VARIABLES!$B18="","",VARIABLES!$B18)</f>
        <v>Lang.</v>
      </c>
      <c r="O13" s="17"/>
      <c r="Q13" s="13" t="str">
        <f>IF(VARIABLES!$B18="","",VARIABLES!$B18)</f>
        <v>Lang.</v>
      </c>
      <c r="S13" s="20"/>
    </row>
    <row r="14" spans="1:271" s="5" customFormat="1" ht="53.25" customHeight="1" x14ac:dyDescent="0.25">
      <c r="A14" s="13" t="str">
        <f>IF(VARIABLES!$B19="","",VARIABLES!$B19)</f>
        <v/>
      </c>
      <c r="B14" s="6"/>
      <c r="C14" s="19"/>
      <c r="D14" s="18"/>
      <c r="E14" s="19"/>
      <c r="F14" s="6"/>
      <c r="G14" s="13" t="str">
        <f>IF(VARIABLES!$B19="","",VARIABLES!$B19)</f>
        <v/>
      </c>
      <c r="H14" s="6"/>
      <c r="I14" s="19"/>
      <c r="J14" s="18"/>
      <c r="K14" s="19"/>
      <c r="L14" s="6"/>
      <c r="M14" s="13" t="str">
        <f>IF(VARIABLES!$B19="","",VARIABLES!$B19)</f>
        <v/>
      </c>
      <c r="N14" s="6"/>
      <c r="O14" s="19"/>
      <c r="P14" s="6"/>
      <c r="Q14" s="13" t="str">
        <f>IF(VARIABLES!$B19="","",VARIABLES!$B19)</f>
        <v/>
      </c>
      <c r="R14" s="6"/>
      <c r="S14" s="21"/>
      <c r="T14" s="6"/>
      <c r="U14" s="8"/>
      <c r="V14" s="6"/>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row>
    <row r="15" spans="1:271" ht="113.25" customHeight="1" x14ac:dyDescent="0.25">
      <c r="A15" s="13" t="str">
        <f>IF(VARIABLES!$B20="","",VARIABLES!$B20)</f>
        <v>Writing</v>
      </c>
      <c r="C15" s="17"/>
      <c r="D15" s="18"/>
      <c r="E15" s="17"/>
      <c r="G15" s="13" t="str">
        <f>IF(VARIABLES!$B20="","",VARIABLES!$B20)</f>
        <v>Writing</v>
      </c>
      <c r="I15" s="17"/>
      <c r="J15" s="18"/>
      <c r="K15" s="17"/>
      <c r="M15" s="13" t="str">
        <f>IF(VARIABLES!$B20="","",VARIABLES!$B20)</f>
        <v>Writing</v>
      </c>
      <c r="O15" s="17"/>
      <c r="Q15" s="13" t="str">
        <f>IF(VARIABLES!$B20="","",VARIABLES!$B20)</f>
        <v>Writing</v>
      </c>
      <c r="S15" s="20"/>
    </row>
    <row r="16" spans="1:271" s="5" customFormat="1" ht="53.25" customHeight="1" x14ac:dyDescent="0.25">
      <c r="A16" s="13" t="str">
        <f>IF(VARIABLES!$B21="","",VARIABLES!$B21)</f>
        <v/>
      </c>
      <c r="B16" s="6"/>
      <c r="C16" s="19"/>
      <c r="D16" s="18"/>
      <c r="E16" s="19"/>
      <c r="F16" s="6"/>
      <c r="G16" s="13" t="str">
        <f>IF(VARIABLES!$B21="","",VARIABLES!$B21)</f>
        <v/>
      </c>
      <c r="H16" s="6"/>
      <c r="I16" s="19"/>
      <c r="J16" s="18"/>
      <c r="K16" s="19"/>
      <c r="L16" s="6"/>
      <c r="M16" s="13" t="str">
        <f>IF(VARIABLES!$B21="","",VARIABLES!$B21)</f>
        <v/>
      </c>
      <c r="N16" s="6"/>
      <c r="O16" s="19"/>
      <c r="P16" s="6"/>
      <c r="Q16" s="13" t="str">
        <f>IF(VARIABLES!$B21="","",VARIABLES!$B21)</f>
        <v/>
      </c>
      <c r="R16" s="6"/>
      <c r="S16" s="21"/>
      <c r="T16" s="6"/>
      <c r="U16" s="8"/>
      <c r="V16" s="6"/>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row>
    <row r="17" spans="1:141" ht="100.5" customHeight="1" x14ac:dyDescent="0.25">
      <c r="A17" s="13" t="str">
        <f>IF(VARIABLES!$B22="","",VARIABLES!$B22)</f>
        <v>Hand Writing</v>
      </c>
      <c r="C17" s="20"/>
      <c r="D17" s="18"/>
      <c r="E17" s="20"/>
      <c r="G17" s="13" t="str">
        <f>IF(VARIABLES!$B22="","",VARIABLES!$B22)</f>
        <v>Hand Writing</v>
      </c>
      <c r="I17" s="20"/>
      <c r="J17" s="18"/>
      <c r="K17" s="20"/>
      <c r="M17" s="13" t="str">
        <f>IF(VARIABLES!$B22="","",VARIABLES!$B22)</f>
        <v>Hand Writing</v>
      </c>
      <c r="O17" s="20"/>
      <c r="Q17" s="13" t="str">
        <f>IF(VARIABLES!$B22="","",VARIABLES!$B22)</f>
        <v>Hand Writing</v>
      </c>
      <c r="S17" s="20"/>
    </row>
    <row r="18" spans="1:141" s="5" customFormat="1" ht="53.25" customHeight="1" x14ac:dyDescent="0.25">
      <c r="A18" s="13" t="str">
        <f>IF(VARIABLES!$B23="","",VARIABLES!$B23)</f>
        <v/>
      </c>
      <c r="B18" s="6"/>
      <c r="C18" s="19"/>
      <c r="D18" s="18"/>
      <c r="E18" s="19"/>
      <c r="F18" s="6"/>
      <c r="G18" s="13" t="str">
        <f>IF(VARIABLES!$B23="","",VARIABLES!$B23)</f>
        <v/>
      </c>
      <c r="H18" s="6"/>
      <c r="I18" s="19"/>
      <c r="J18" s="18"/>
      <c r="K18" s="19"/>
      <c r="L18" s="6"/>
      <c r="M18" s="13" t="str">
        <f>IF(VARIABLES!$B23="","",VARIABLES!$B23)</f>
        <v/>
      </c>
      <c r="N18" s="6"/>
      <c r="O18" s="19"/>
      <c r="P18" s="6"/>
      <c r="Q18" s="13" t="str">
        <f>IF(VARIABLES!$B23="","",VARIABLES!$B23)</f>
        <v/>
      </c>
      <c r="R18" s="6"/>
      <c r="S18" s="21"/>
      <c r="T18" s="6"/>
      <c r="U18" s="8"/>
      <c r="V18" s="6"/>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row>
    <row r="19" spans="1:141" ht="111.75" customHeight="1" x14ac:dyDescent="0.25">
      <c r="A19" s="13" t="str">
        <f>IF(VARIABLES!$B24="","",VARIABLES!$B24)</f>
        <v>Spelling</v>
      </c>
      <c r="C19" s="20"/>
      <c r="D19" s="18"/>
      <c r="E19" s="20"/>
      <c r="G19" s="13" t="str">
        <f>IF(VARIABLES!$B24="","",VARIABLES!$B24)</f>
        <v>Spelling</v>
      </c>
      <c r="I19" s="20"/>
      <c r="J19" s="18"/>
      <c r="K19" s="20"/>
      <c r="M19" s="13" t="str">
        <f>IF(VARIABLES!$B24="","",VARIABLES!$B24)</f>
        <v>Spelling</v>
      </c>
      <c r="O19" s="20"/>
      <c r="Q19" s="13" t="str">
        <f>IF(VARIABLES!$B24="","",VARIABLES!$B24)</f>
        <v>Spelling</v>
      </c>
      <c r="S19" s="20"/>
    </row>
    <row r="20" spans="1:141" s="5" customFormat="1" ht="53.25" customHeight="1" x14ac:dyDescent="0.25">
      <c r="A20" s="13" t="str">
        <f>IF(VARIABLES!$B25="","",VARIABLES!$B25)</f>
        <v/>
      </c>
      <c r="B20" s="6"/>
      <c r="C20" s="19"/>
      <c r="D20" s="18"/>
      <c r="E20" s="19"/>
      <c r="F20" s="6"/>
      <c r="G20" s="13" t="str">
        <f>IF(VARIABLES!$B25="","",VARIABLES!$B25)</f>
        <v/>
      </c>
      <c r="H20" s="6"/>
      <c r="I20" s="19"/>
      <c r="J20" s="18"/>
      <c r="K20" s="19"/>
      <c r="L20" s="6"/>
      <c r="M20" s="13" t="str">
        <f>IF(VARIABLES!$B25="","",VARIABLES!$B25)</f>
        <v/>
      </c>
      <c r="N20" s="6"/>
      <c r="O20" s="19"/>
      <c r="P20" s="6"/>
      <c r="Q20" s="13" t="str">
        <f>IF(VARIABLES!$B25="","",VARIABLES!$B25)</f>
        <v/>
      </c>
      <c r="R20" s="6"/>
      <c r="S20" s="21"/>
      <c r="T20" s="6"/>
      <c r="U20" s="8"/>
      <c r="V20" s="6"/>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row>
    <row r="21" spans="1:141" ht="115.5" customHeight="1" x14ac:dyDescent="0.25">
      <c r="A21" s="13" t="str">
        <f>IF(VARIABLES!$B26="","",VARIABLES!$B26)</f>
        <v>Journal</v>
      </c>
      <c r="C21" s="20"/>
      <c r="D21" s="18"/>
      <c r="E21" s="20"/>
      <c r="G21" s="13" t="str">
        <f>IF(VARIABLES!$B26="","",VARIABLES!$B26)</f>
        <v>Journal</v>
      </c>
      <c r="I21" s="20"/>
      <c r="J21" s="18"/>
      <c r="K21" s="23"/>
      <c r="M21" s="13" t="str">
        <f>IF(VARIABLES!$B26="","",VARIABLES!$B26)</f>
        <v>Journal</v>
      </c>
      <c r="O21" s="20"/>
      <c r="Q21" s="13" t="str">
        <f>IF(VARIABLES!$B26="","",VARIABLES!$B26)</f>
        <v>Journal</v>
      </c>
      <c r="S21" s="20"/>
    </row>
    <row r="22" spans="1:141" s="5" customFormat="1" ht="53.25" customHeight="1" x14ac:dyDescent="0.25">
      <c r="A22" s="13" t="str">
        <f>IF(VARIABLES!$B27="","",VARIABLES!$B27)</f>
        <v/>
      </c>
      <c r="B22" s="6"/>
      <c r="C22" s="19"/>
      <c r="D22" s="18"/>
      <c r="E22" s="19"/>
      <c r="F22" s="6"/>
      <c r="G22" s="13" t="str">
        <f>IF(VARIABLES!$B27="","",VARIABLES!$B27)</f>
        <v/>
      </c>
      <c r="H22" s="6"/>
      <c r="I22" s="19"/>
      <c r="J22" s="18"/>
      <c r="K22" s="19"/>
      <c r="L22" s="6"/>
      <c r="M22" s="13" t="str">
        <f>IF(VARIABLES!$B27="","",VARIABLES!$B27)</f>
        <v/>
      </c>
      <c r="N22" s="6"/>
      <c r="O22" s="19"/>
      <c r="P22" s="6"/>
      <c r="Q22" s="13" t="str">
        <f>IF(VARIABLES!$B27="","",VARIABLES!$B27)</f>
        <v/>
      </c>
      <c r="R22" s="6"/>
      <c r="S22" s="21"/>
      <c r="T22" s="6"/>
      <c r="U22" s="8"/>
      <c r="V22" s="6"/>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row>
    <row r="23" spans="1:141" ht="113.25" customHeight="1" x14ac:dyDescent="0.25">
      <c r="A23" s="13" t="str">
        <f>IF(VARIABLES!$B28="","",VARIABLES!$B28)</f>
        <v>Math</v>
      </c>
      <c r="C23" s="20"/>
      <c r="D23" s="18"/>
      <c r="E23" s="20"/>
      <c r="G23" s="13" t="str">
        <f>IF(VARIABLES!$B28="","",VARIABLES!$B28)</f>
        <v>Math</v>
      </c>
      <c r="I23" s="20"/>
      <c r="J23" s="18"/>
      <c r="K23" s="23"/>
      <c r="M23" s="13" t="str">
        <f>IF(VARIABLES!$B28="","",VARIABLES!$B28)</f>
        <v>Math</v>
      </c>
      <c r="O23" s="20"/>
      <c r="Q23" s="13" t="str">
        <f>IF(VARIABLES!$B28="","",VARIABLES!$B28)</f>
        <v>Math</v>
      </c>
      <c r="S23" s="20"/>
    </row>
    <row r="24" spans="1:141" s="5" customFormat="1" ht="53.25" customHeight="1" x14ac:dyDescent="0.25">
      <c r="A24" s="13" t="str">
        <f>IF(VARIABLES!$B29="","",VARIABLES!$B29)</f>
        <v/>
      </c>
      <c r="B24" s="6"/>
      <c r="C24" s="19"/>
      <c r="D24" s="18"/>
      <c r="E24" s="19"/>
      <c r="F24" s="6"/>
      <c r="G24" s="13" t="str">
        <f>IF(VARIABLES!$B29="","",VARIABLES!$B29)</f>
        <v/>
      </c>
      <c r="H24" s="6"/>
      <c r="I24" s="19"/>
      <c r="J24" s="18"/>
      <c r="K24" s="19"/>
      <c r="L24" s="6"/>
      <c r="M24" s="13" t="str">
        <f>IF(VARIABLES!$B29="","",VARIABLES!$B29)</f>
        <v/>
      </c>
      <c r="N24" s="6"/>
      <c r="O24" s="19"/>
      <c r="P24" s="6"/>
      <c r="Q24" s="13" t="str">
        <f>IF(VARIABLES!$B29="","",VARIABLES!$B29)</f>
        <v/>
      </c>
      <c r="R24" s="6"/>
      <c r="S24" s="21"/>
      <c r="T24" s="6"/>
      <c r="U24" s="8"/>
      <c r="V24" s="6"/>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8"/>
      <c r="DU24" s="8"/>
      <c r="DV24" s="8"/>
      <c r="DW24" s="8"/>
      <c r="DX24" s="8"/>
      <c r="DY24" s="8"/>
      <c r="DZ24" s="8"/>
      <c r="EA24" s="8"/>
      <c r="EB24" s="8"/>
      <c r="EC24" s="8"/>
      <c r="ED24" s="8"/>
      <c r="EE24" s="8"/>
      <c r="EF24" s="8"/>
      <c r="EG24" s="8"/>
      <c r="EH24" s="8"/>
      <c r="EI24" s="8"/>
      <c r="EJ24" s="8"/>
      <c r="EK24" s="8"/>
    </row>
    <row r="25" spans="1:141" ht="113.25" customHeight="1" x14ac:dyDescent="0.25">
      <c r="A25" s="13" t="str">
        <f>IF(VARIABLES!$B30="","",VARIABLES!$B30)</f>
        <v>Science</v>
      </c>
      <c r="C25" s="20"/>
      <c r="D25" s="18"/>
      <c r="E25" s="20"/>
      <c r="G25" s="13" t="str">
        <f>IF(VARIABLES!$B30="","",VARIABLES!$B30)</f>
        <v>Science</v>
      </c>
      <c r="I25" s="20"/>
      <c r="J25" s="18"/>
      <c r="K25" s="20"/>
      <c r="M25" s="13" t="str">
        <f>IF(VARIABLES!$B30="","",VARIABLES!$B30)</f>
        <v>Science</v>
      </c>
      <c r="O25" s="20"/>
      <c r="Q25" s="13" t="str">
        <f>IF(VARIABLES!$B30="","",VARIABLES!$B30)</f>
        <v>Science</v>
      </c>
      <c r="S25" s="20"/>
    </row>
    <row r="26" spans="1:141" s="5" customFormat="1" ht="53.25" customHeight="1" x14ac:dyDescent="0.25">
      <c r="A26" s="13" t="str">
        <f>IF(VARIABLES!$B31="","",VARIABLES!$B31)</f>
        <v/>
      </c>
      <c r="B26" s="6"/>
      <c r="C26" s="19"/>
      <c r="D26" s="18"/>
      <c r="E26" s="19"/>
      <c r="F26" s="6"/>
      <c r="G26" s="13" t="str">
        <f>IF(VARIABLES!$B31="","",VARIABLES!$B31)</f>
        <v/>
      </c>
      <c r="H26" s="6"/>
      <c r="I26" s="19"/>
      <c r="J26" s="18"/>
      <c r="K26" s="19"/>
      <c r="L26" s="6"/>
      <c r="M26" s="13" t="str">
        <f>IF(VARIABLES!$B31="","",VARIABLES!$B31)</f>
        <v/>
      </c>
      <c r="N26" s="6"/>
      <c r="O26" s="19"/>
      <c r="P26" s="6"/>
      <c r="Q26" s="13" t="str">
        <f>IF(VARIABLES!$B31="","",VARIABLES!$B31)</f>
        <v/>
      </c>
      <c r="R26" s="6"/>
      <c r="S26" s="21"/>
      <c r="T26" s="6"/>
      <c r="U26" s="8"/>
      <c r="V26" s="6"/>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row>
    <row r="27" spans="1:141" ht="100.5" customHeight="1" x14ac:dyDescent="0.25">
      <c r="A27" s="13" t="str">
        <f>IF(VARIABLES!$B32="","",VARIABLES!$B32)</f>
        <v>Social Studies</v>
      </c>
      <c r="C27" s="20"/>
      <c r="D27" s="18"/>
      <c r="E27" s="20"/>
      <c r="G27" s="13" t="str">
        <f>IF(VARIABLES!$B32="","",VARIABLES!$B32)</f>
        <v>Social Studies</v>
      </c>
      <c r="I27" s="20"/>
      <c r="J27" s="18"/>
      <c r="K27" s="20"/>
      <c r="M27" s="13" t="str">
        <f>IF(VARIABLES!$B32="","",VARIABLES!$B32)</f>
        <v>Social Studies</v>
      </c>
      <c r="O27" s="20"/>
      <c r="Q27" s="13" t="str">
        <f>IF(VARIABLES!$B32="","",VARIABLES!$B32)</f>
        <v>Social Studies</v>
      </c>
      <c r="S27" s="20"/>
    </row>
    <row r="28" spans="1:141" s="5" customFormat="1" ht="53.25" customHeight="1" x14ac:dyDescent="0.25">
      <c r="A28" s="13" t="str">
        <f>IF(VARIABLES!$B33="","",VARIABLES!$B33)</f>
        <v/>
      </c>
      <c r="B28" s="6"/>
      <c r="C28" s="19"/>
      <c r="D28" s="18"/>
      <c r="E28" s="19"/>
      <c r="F28" s="6"/>
      <c r="G28" s="13" t="str">
        <f>IF(VARIABLES!$B33="","",VARIABLES!$B33)</f>
        <v/>
      </c>
      <c r="H28" s="6"/>
      <c r="I28" s="19"/>
      <c r="J28" s="18"/>
      <c r="K28" s="19"/>
      <c r="L28" s="6"/>
      <c r="M28" s="13" t="str">
        <f>IF(VARIABLES!$B33="","",VARIABLES!$B33)</f>
        <v/>
      </c>
      <c r="N28" s="6"/>
      <c r="O28" s="19"/>
      <c r="P28" s="6"/>
      <c r="Q28" s="13" t="str">
        <f>IF(VARIABLES!$B33="","",VARIABLES!$B33)</f>
        <v/>
      </c>
      <c r="R28" s="6"/>
      <c r="S28" s="21"/>
      <c r="T28" s="6"/>
      <c r="U28" s="8"/>
      <c r="V28" s="6"/>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row>
    <row r="29" spans="1:141" ht="111.75" customHeight="1" x14ac:dyDescent="0.25">
      <c r="A29" s="13" t="str">
        <f>IF(VARIABLES!$B34="","",VARIABLES!$B34)</f>
        <v>Add. Day</v>
      </c>
      <c r="C29" s="20"/>
      <c r="D29" s="18"/>
      <c r="E29" s="20"/>
      <c r="G29" s="13" t="str">
        <f>IF(VARIABLES!$B34="","",VARIABLES!$B34)</f>
        <v>Add. Day</v>
      </c>
      <c r="I29" s="20"/>
      <c r="J29" s="18"/>
      <c r="K29" s="20"/>
      <c r="M29" s="13" t="str">
        <f>IF(VARIABLES!$B34="","",VARIABLES!$B34)</f>
        <v>Add. Day</v>
      </c>
      <c r="O29" s="20"/>
      <c r="Q29" s="13" t="str">
        <f>IF(VARIABLES!$B34="","",VARIABLES!$B34)</f>
        <v>Add. Day</v>
      </c>
      <c r="S29" s="20"/>
    </row>
    <row r="30" spans="1:141" ht="52.5" customHeight="1" x14ac:dyDescent="0.25">
      <c r="A30" s="13" t="str">
        <f>IF(VARIABLES!$B35="","",VARIABLES!$B35)</f>
        <v/>
      </c>
      <c r="C30" s="5"/>
      <c r="E30" s="5"/>
      <c r="G30" s="13" t="str">
        <f>IF(VARIABLES!$B35="","",VARIABLES!$B35)</f>
        <v/>
      </c>
      <c r="I30" s="5"/>
      <c r="K30" s="5"/>
      <c r="M30" s="13" t="str">
        <f>IF(VARIABLES!$B35="","",VARIABLES!$B35)</f>
        <v/>
      </c>
      <c r="O30" s="5"/>
      <c r="Q30" s="13" t="str">
        <f>IF(VARIABLES!$B35="","",VARIABLES!$B35)</f>
        <v/>
      </c>
      <c r="S30" s="22"/>
    </row>
    <row r="31" spans="1:141" ht="52.5" customHeight="1" x14ac:dyDescent="0.25">
      <c r="A31" s="13"/>
      <c r="C31" s="5"/>
      <c r="E31" s="5"/>
      <c r="G31" s="13"/>
      <c r="I31" s="5"/>
      <c r="K31" s="5"/>
      <c r="M31" s="13"/>
      <c r="O31" s="5"/>
      <c r="Q31" s="13"/>
      <c r="S31" s="22"/>
    </row>
    <row r="32" spans="1:141" s="6" customFormat="1" ht="6.75" customHeight="1" x14ac:dyDescent="0.25">
      <c r="A32" s="12"/>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row>
    <row r="33" spans="1:141" s="6" customFormat="1" ht="6.75" customHeight="1" x14ac:dyDescent="0.25">
      <c r="A33" s="12"/>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row>
    <row r="34" spans="1:141" ht="15.75" x14ac:dyDescent="0.25">
      <c r="A34" s="14"/>
      <c r="B34" s="8"/>
      <c r="D34" s="8"/>
      <c r="F34" s="8"/>
      <c r="H34" s="8"/>
      <c r="J34" s="8"/>
      <c r="L34" s="8"/>
      <c r="M34" s="8"/>
      <c r="N34" s="8"/>
      <c r="P34" s="8"/>
      <c r="Q34" s="8"/>
      <c r="R34" s="8"/>
      <c r="T34" s="8"/>
      <c r="V34" s="8"/>
    </row>
    <row r="35" spans="1:141" ht="15.75" x14ac:dyDescent="0.25">
      <c r="A35" s="14"/>
      <c r="B35" s="8"/>
      <c r="D35" s="8"/>
      <c r="F35" s="8"/>
      <c r="H35" s="8"/>
      <c r="J35" s="8"/>
      <c r="L35" s="8"/>
      <c r="M35" s="8"/>
      <c r="N35" s="8"/>
      <c r="P35" s="8"/>
      <c r="Q35" s="8"/>
      <c r="R35" s="8"/>
      <c r="T35" s="8"/>
      <c r="V35" s="8"/>
    </row>
    <row r="36" spans="1:141" ht="15.75" x14ac:dyDescent="0.25">
      <c r="A36" s="14"/>
      <c r="B36" s="8"/>
      <c r="D36" s="8"/>
      <c r="F36" s="8"/>
      <c r="H36" s="8"/>
      <c r="J36" s="8"/>
      <c r="L36" s="8"/>
      <c r="M36" s="8"/>
      <c r="N36" s="8"/>
      <c r="P36" s="8"/>
      <c r="Q36" s="8"/>
      <c r="R36" s="8"/>
      <c r="T36" s="8"/>
      <c r="V36" s="8"/>
    </row>
    <row r="37" spans="1:141" ht="15.75" x14ac:dyDescent="0.25">
      <c r="A37" s="14"/>
      <c r="B37" s="8"/>
      <c r="D37" s="8"/>
      <c r="F37" s="8"/>
      <c r="H37" s="8"/>
      <c r="J37" s="8"/>
      <c r="L37" s="8"/>
      <c r="M37" s="8"/>
      <c r="N37" s="8"/>
      <c r="P37" s="8"/>
      <c r="Q37" s="8"/>
      <c r="R37" s="8"/>
      <c r="T37" s="8"/>
      <c r="V37" s="8"/>
    </row>
    <row r="38" spans="1:141" ht="15.75" x14ac:dyDescent="0.25">
      <c r="A38" s="14"/>
      <c r="B38" s="8"/>
      <c r="D38" s="8"/>
      <c r="F38" s="8"/>
      <c r="H38" s="8"/>
      <c r="J38" s="8"/>
      <c r="L38" s="8"/>
      <c r="M38" s="8"/>
      <c r="N38" s="8"/>
      <c r="P38" s="8"/>
      <c r="Q38" s="8"/>
      <c r="R38" s="8"/>
      <c r="T38" s="8"/>
      <c r="V38" s="8"/>
    </row>
    <row r="39" spans="1:141" ht="15.75" x14ac:dyDescent="0.25">
      <c r="A39" s="14"/>
      <c r="B39" s="8"/>
      <c r="D39" s="8"/>
      <c r="F39" s="8"/>
      <c r="H39" s="8"/>
      <c r="J39" s="8"/>
      <c r="L39" s="8"/>
      <c r="M39" s="8"/>
      <c r="N39" s="8"/>
      <c r="P39" s="8"/>
      <c r="Q39" s="8"/>
      <c r="R39" s="8"/>
      <c r="T39" s="8"/>
      <c r="V39" s="8"/>
    </row>
    <row r="40" spans="1:141" ht="15.75" x14ac:dyDescent="0.25">
      <c r="A40" s="14"/>
      <c r="B40" s="8"/>
      <c r="D40" s="8"/>
      <c r="F40" s="8"/>
      <c r="H40" s="8"/>
      <c r="J40" s="8"/>
      <c r="L40" s="8"/>
      <c r="M40" s="8"/>
      <c r="N40" s="8"/>
      <c r="P40" s="8"/>
      <c r="Q40" s="8"/>
      <c r="R40" s="8"/>
      <c r="T40" s="8"/>
      <c r="V40" s="8"/>
    </row>
    <row r="41" spans="1:141" ht="15.75" x14ac:dyDescent="0.25">
      <c r="A41" s="14"/>
      <c r="B41" s="8"/>
      <c r="D41" s="8"/>
      <c r="F41" s="8"/>
      <c r="H41" s="8"/>
      <c r="J41" s="8"/>
      <c r="L41" s="8"/>
      <c r="M41" s="8"/>
      <c r="N41" s="8"/>
      <c r="P41" s="8"/>
      <c r="Q41" s="8"/>
      <c r="R41" s="8"/>
      <c r="T41" s="8"/>
      <c r="V41" s="8"/>
    </row>
    <row r="42" spans="1:141" ht="15.75" x14ac:dyDescent="0.25">
      <c r="A42" s="14"/>
      <c r="B42" s="8"/>
      <c r="D42" s="8"/>
      <c r="F42" s="8"/>
      <c r="H42" s="8"/>
      <c r="J42" s="8"/>
      <c r="L42" s="8"/>
      <c r="M42" s="8"/>
      <c r="N42" s="8"/>
      <c r="P42" s="8"/>
      <c r="Q42" s="8"/>
      <c r="R42" s="8"/>
      <c r="T42" s="8"/>
      <c r="V42" s="8"/>
    </row>
    <row r="43" spans="1:141" ht="15.75" x14ac:dyDescent="0.25">
      <c r="A43" s="14"/>
      <c r="B43" s="8"/>
      <c r="D43" s="8"/>
      <c r="F43" s="8"/>
      <c r="H43" s="8"/>
      <c r="J43" s="8"/>
      <c r="L43" s="8"/>
      <c r="M43" s="8"/>
      <c r="N43" s="8"/>
      <c r="P43" s="8"/>
      <c r="Q43" s="8"/>
      <c r="R43" s="8"/>
      <c r="T43" s="8"/>
      <c r="V43" s="8"/>
    </row>
    <row r="44" spans="1:141" ht="15.75" x14ac:dyDescent="0.25">
      <c r="A44" s="14"/>
      <c r="B44" s="8"/>
      <c r="D44" s="8"/>
      <c r="F44" s="8"/>
      <c r="H44" s="8"/>
      <c r="J44" s="8"/>
      <c r="L44" s="8"/>
      <c r="M44" s="8"/>
      <c r="N44" s="8"/>
      <c r="P44" s="8"/>
      <c r="Q44" s="8"/>
      <c r="R44" s="8"/>
      <c r="T44" s="8"/>
      <c r="V44" s="8"/>
    </row>
    <row r="45" spans="1:141" ht="15.75" x14ac:dyDescent="0.25">
      <c r="A45" s="14"/>
      <c r="B45" s="8"/>
      <c r="D45" s="8"/>
      <c r="F45" s="8"/>
      <c r="H45" s="8"/>
      <c r="J45" s="8"/>
      <c r="L45" s="8"/>
      <c r="M45" s="8"/>
      <c r="N45" s="8"/>
      <c r="P45" s="8"/>
      <c r="Q45" s="8"/>
      <c r="R45" s="8"/>
      <c r="T45" s="8"/>
      <c r="V45" s="8"/>
    </row>
    <row r="46" spans="1:141" ht="15.75" x14ac:dyDescent="0.25">
      <c r="A46" s="14"/>
      <c r="B46" s="8"/>
      <c r="D46" s="8"/>
      <c r="F46" s="8"/>
      <c r="H46" s="8"/>
      <c r="J46" s="8"/>
      <c r="L46" s="8"/>
      <c r="M46" s="8"/>
      <c r="N46" s="8"/>
      <c r="P46" s="8"/>
      <c r="Q46" s="8"/>
      <c r="R46" s="8"/>
      <c r="T46" s="8"/>
      <c r="V46" s="8"/>
    </row>
    <row r="47" spans="1:141" ht="15.75" x14ac:dyDescent="0.25">
      <c r="A47" s="14"/>
      <c r="B47" s="8"/>
      <c r="D47" s="8"/>
      <c r="F47" s="8"/>
      <c r="H47" s="8"/>
      <c r="J47" s="8"/>
      <c r="L47" s="8"/>
      <c r="M47" s="8"/>
      <c r="N47" s="8"/>
      <c r="P47" s="8"/>
      <c r="Q47" s="8"/>
      <c r="R47" s="8"/>
      <c r="T47" s="8"/>
      <c r="V47" s="8"/>
    </row>
    <row r="48" spans="1:141" ht="15.75" x14ac:dyDescent="0.25">
      <c r="A48" s="14"/>
      <c r="B48" s="8"/>
      <c r="D48" s="8"/>
      <c r="F48" s="8"/>
      <c r="H48" s="8"/>
      <c r="J48" s="8"/>
      <c r="L48" s="8"/>
      <c r="M48" s="8"/>
      <c r="N48" s="8"/>
      <c r="P48" s="8"/>
      <c r="Q48" s="8"/>
      <c r="R48" s="8"/>
      <c r="T48" s="8"/>
      <c r="V48" s="8"/>
    </row>
    <row r="49" spans="1:22" ht="15.75" x14ac:dyDescent="0.25">
      <c r="A49" s="14"/>
      <c r="B49" s="8"/>
      <c r="D49" s="8"/>
      <c r="F49" s="8"/>
      <c r="H49" s="8"/>
      <c r="J49" s="8"/>
      <c r="L49" s="8"/>
      <c r="M49" s="8"/>
      <c r="N49" s="8"/>
      <c r="P49" s="8"/>
      <c r="Q49" s="8"/>
      <c r="R49" s="8"/>
      <c r="T49" s="8"/>
      <c r="V49" s="8"/>
    </row>
    <row r="50" spans="1:22" ht="15.75" x14ac:dyDescent="0.25">
      <c r="A50" s="14"/>
      <c r="B50" s="8"/>
      <c r="D50" s="8"/>
      <c r="F50" s="8"/>
      <c r="H50" s="8"/>
      <c r="J50" s="8"/>
      <c r="L50" s="8"/>
      <c r="M50" s="8"/>
      <c r="N50" s="8"/>
      <c r="P50" s="8"/>
      <c r="Q50" s="8"/>
      <c r="R50" s="8"/>
      <c r="T50" s="8"/>
      <c r="V50" s="8"/>
    </row>
    <row r="51" spans="1:22" ht="15.75" x14ac:dyDescent="0.25">
      <c r="A51" s="14"/>
      <c r="B51" s="8"/>
      <c r="D51" s="8"/>
      <c r="F51" s="8"/>
      <c r="H51" s="8"/>
      <c r="J51" s="8"/>
      <c r="L51" s="8"/>
      <c r="M51" s="8"/>
      <c r="N51" s="8"/>
      <c r="P51" s="8"/>
      <c r="Q51" s="8"/>
      <c r="R51" s="8"/>
      <c r="T51" s="8"/>
      <c r="V51" s="8"/>
    </row>
    <row r="52" spans="1:22" ht="15.75" x14ac:dyDescent="0.25">
      <c r="A52" s="14"/>
      <c r="B52" s="8"/>
      <c r="D52" s="8"/>
      <c r="F52" s="8"/>
      <c r="H52" s="8"/>
      <c r="J52" s="8"/>
      <c r="L52" s="8"/>
      <c r="M52" s="8"/>
      <c r="N52" s="8"/>
      <c r="P52" s="8"/>
      <c r="Q52" s="8"/>
      <c r="R52" s="8"/>
      <c r="T52" s="8"/>
      <c r="V52" s="8"/>
    </row>
    <row r="53" spans="1:22" ht="15.75" x14ac:dyDescent="0.25">
      <c r="A53" s="14"/>
      <c r="B53" s="8"/>
      <c r="D53" s="8"/>
      <c r="F53" s="8"/>
      <c r="H53" s="8"/>
      <c r="J53" s="8"/>
      <c r="L53" s="8"/>
      <c r="M53" s="8"/>
      <c r="N53" s="8"/>
      <c r="P53" s="8"/>
      <c r="Q53" s="8"/>
      <c r="R53" s="8"/>
      <c r="T53" s="8"/>
      <c r="V53" s="8"/>
    </row>
    <row r="54" spans="1:22" ht="15.75" x14ac:dyDescent="0.25">
      <c r="A54" s="14"/>
      <c r="B54" s="8"/>
      <c r="D54" s="8"/>
      <c r="F54" s="8"/>
      <c r="H54" s="8"/>
      <c r="J54" s="8"/>
      <c r="L54" s="8"/>
      <c r="M54" s="8"/>
      <c r="N54" s="8"/>
      <c r="P54" s="8"/>
      <c r="Q54" s="8"/>
      <c r="R54" s="8"/>
      <c r="T54" s="8"/>
      <c r="V54" s="8"/>
    </row>
    <row r="55" spans="1:22" ht="15.75" x14ac:dyDescent="0.25">
      <c r="A55" s="14"/>
      <c r="B55" s="8"/>
      <c r="D55" s="8"/>
      <c r="F55" s="8"/>
      <c r="H55" s="8"/>
      <c r="J55" s="8"/>
      <c r="L55" s="8"/>
      <c r="M55" s="8"/>
      <c r="N55" s="8"/>
      <c r="P55" s="8"/>
      <c r="Q55" s="8"/>
      <c r="R55" s="8"/>
      <c r="T55" s="8"/>
      <c r="V55" s="8"/>
    </row>
    <row r="56" spans="1:22" ht="15.75" x14ac:dyDescent="0.25">
      <c r="A56" s="14"/>
      <c r="B56" s="8"/>
      <c r="D56" s="8"/>
      <c r="F56" s="8"/>
      <c r="H56" s="8"/>
      <c r="J56" s="8"/>
      <c r="L56" s="8"/>
      <c r="M56" s="8"/>
      <c r="N56" s="8"/>
      <c r="P56" s="8"/>
      <c r="Q56" s="8"/>
      <c r="R56" s="8"/>
      <c r="T56" s="8"/>
      <c r="V56" s="8"/>
    </row>
    <row r="57" spans="1:22" ht="15.75" x14ac:dyDescent="0.25">
      <c r="A57" s="14"/>
      <c r="B57" s="8"/>
      <c r="D57" s="8"/>
      <c r="F57" s="8"/>
      <c r="H57" s="8"/>
      <c r="J57" s="8"/>
      <c r="L57" s="8"/>
      <c r="M57" s="8"/>
      <c r="N57" s="8"/>
      <c r="P57" s="8"/>
      <c r="Q57" s="8"/>
      <c r="R57" s="8"/>
      <c r="T57" s="8"/>
      <c r="V57" s="8"/>
    </row>
    <row r="58" spans="1:22" ht="15.75" x14ac:dyDescent="0.25">
      <c r="A58" s="14"/>
      <c r="B58" s="8"/>
      <c r="D58" s="8"/>
      <c r="F58" s="8"/>
      <c r="H58" s="8"/>
      <c r="J58" s="8"/>
      <c r="L58" s="8"/>
      <c r="M58" s="8"/>
      <c r="N58" s="8"/>
      <c r="P58" s="8"/>
      <c r="Q58" s="8"/>
      <c r="R58" s="8"/>
      <c r="T58" s="8"/>
      <c r="V58" s="8"/>
    </row>
    <row r="59" spans="1:22" ht="15.75" x14ac:dyDescent="0.25">
      <c r="A59" s="14"/>
      <c r="B59" s="8"/>
      <c r="D59" s="8"/>
      <c r="F59" s="8"/>
      <c r="H59" s="8"/>
      <c r="J59" s="8"/>
      <c r="L59" s="8"/>
      <c r="M59" s="8"/>
      <c r="N59" s="8"/>
      <c r="P59" s="8"/>
      <c r="Q59" s="8"/>
      <c r="R59" s="8"/>
      <c r="T59" s="8"/>
      <c r="V59" s="8"/>
    </row>
    <row r="60" spans="1:22" ht="15.75" x14ac:dyDescent="0.25">
      <c r="A60" s="14"/>
      <c r="B60" s="8"/>
      <c r="D60" s="8"/>
      <c r="F60" s="8"/>
      <c r="H60" s="8"/>
      <c r="J60" s="8"/>
      <c r="L60" s="8"/>
      <c r="M60" s="8"/>
      <c r="N60" s="8"/>
      <c r="P60" s="8"/>
      <c r="Q60" s="8"/>
      <c r="R60" s="8"/>
      <c r="T60" s="8"/>
      <c r="V60" s="8"/>
    </row>
    <row r="61" spans="1:22" ht="15.75" x14ac:dyDescent="0.25">
      <c r="A61" s="14"/>
      <c r="B61" s="8"/>
      <c r="D61" s="8"/>
      <c r="F61" s="8"/>
      <c r="H61" s="8"/>
      <c r="J61" s="8"/>
      <c r="L61" s="8"/>
      <c r="M61" s="8"/>
      <c r="N61" s="8"/>
      <c r="P61" s="8"/>
      <c r="Q61" s="8"/>
      <c r="R61" s="8"/>
      <c r="T61" s="8"/>
      <c r="V61" s="8"/>
    </row>
    <row r="62" spans="1:22" ht="15.75" x14ac:dyDescent="0.25">
      <c r="A62" s="14"/>
      <c r="B62" s="8"/>
      <c r="D62" s="8"/>
      <c r="F62" s="8"/>
      <c r="H62" s="8"/>
      <c r="J62" s="8"/>
      <c r="L62" s="8"/>
      <c r="M62" s="8"/>
      <c r="N62" s="8"/>
      <c r="P62" s="8"/>
      <c r="Q62" s="8"/>
      <c r="R62" s="8"/>
      <c r="T62" s="8"/>
      <c r="V62" s="8"/>
    </row>
    <row r="63" spans="1:22" ht="15.75" x14ac:dyDescent="0.25">
      <c r="A63" s="14"/>
      <c r="B63" s="8"/>
      <c r="D63" s="8"/>
      <c r="F63" s="8"/>
      <c r="H63" s="8"/>
      <c r="J63" s="8"/>
      <c r="L63" s="8"/>
      <c r="M63" s="8"/>
      <c r="N63" s="8"/>
      <c r="P63" s="8"/>
      <c r="Q63" s="8"/>
      <c r="R63" s="8"/>
      <c r="T63" s="8"/>
      <c r="V63" s="8"/>
    </row>
    <row r="64" spans="1:22" ht="15.75" x14ac:dyDescent="0.25">
      <c r="A64" s="14"/>
      <c r="B64" s="8"/>
      <c r="D64" s="8"/>
      <c r="F64" s="8"/>
      <c r="H64" s="8"/>
      <c r="J64" s="8"/>
      <c r="L64" s="8"/>
      <c r="M64" s="8"/>
      <c r="N64" s="8"/>
      <c r="P64" s="8"/>
      <c r="Q64" s="8"/>
      <c r="R64" s="8"/>
      <c r="T64" s="8"/>
      <c r="V64" s="8"/>
    </row>
    <row r="65" spans="1:22" ht="15.75" x14ac:dyDescent="0.25">
      <c r="A65" s="14"/>
      <c r="B65" s="8"/>
      <c r="D65" s="8"/>
      <c r="F65" s="8"/>
      <c r="H65" s="8"/>
      <c r="J65" s="8"/>
      <c r="L65" s="8"/>
      <c r="M65" s="8"/>
      <c r="N65" s="8"/>
      <c r="P65" s="8"/>
      <c r="Q65" s="8"/>
      <c r="R65" s="8"/>
      <c r="T65" s="8"/>
      <c r="V65" s="8"/>
    </row>
    <row r="66" spans="1:22" ht="15.75" x14ac:dyDescent="0.25">
      <c r="A66" s="14"/>
      <c r="B66" s="8"/>
      <c r="D66" s="8"/>
      <c r="F66" s="8"/>
      <c r="H66" s="8"/>
      <c r="J66" s="8"/>
      <c r="L66" s="8"/>
      <c r="M66" s="8"/>
      <c r="N66" s="8"/>
      <c r="P66" s="8"/>
      <c r="Q66" s="8"/>
      <c r="R66" s="8"/>
      <c r="T66" s="8"/>
      <c r="V66" s="8"/>
    </row>
    <row r="67" spans="1:22" ht="15.75" x14ac:dyDescent="0.25">
      <c r="A67" s="14"/>
      <c r="B67" s="8"/>
      <c r="D67" s="8"/>
      <c r="F67" s="8"/>
      <c r="H67" s="8"/>
      <c r="J67" s="8"/>
      <c r="L67" s="8"/>
      <c r="M67" s="8"/>
      <c r="N67" s="8"/>
      <c r="P67" s="8"/>
      <c r="Q67" s="8"/>
      <c r="R67" s="8"/>
      <c r="T67" s="8"/>
      <c r="V67" s="8"/>
    </row>
    <row r="68" spans="1:22" ht="15.75" x14ac:dyDescent="0.25">
      <c r="A68" s="14"/>
      <c r="B68" s="8"/>
      <c r="D68" s="8"/>
      <c r="F68" s="8"/>
      <c r="H68" s="8"/>
      <c r="J68" s="8"/>
      <c r="L68" s="8"/>
      <c r="M68" s="8"/>
      <c r="N68" s="8"/>
      <c r="P68" s="8"/>
      <c r="Q68" s="8"/>
      <c r="R68" s="8"/>
      <c r="T68" s="8"/>
      <c r="V68" s="8"/>
    </row>
    <row r="69" spans="1:22" ht="15.75" x14ac:dyDescent="0.25">
      <c r="A69" s="14"/>
      <c r="B69" s="8"/>
      <c r="D69" s="8"/>
      <c r="F69" s="8"/>
      <c r="H69" s="8"/>
      <c r="J69" s="8"/>
      <c r="L69" s="8"/>
      <c r="M69" s="8"/>
      <c r="N69" s="8"/>
      <c r="P69" s="8"/>
      <c r="Q69" s="8"/>
      <c r="R69" s="8"/>
      <c r="T69" s="8"/>
      <c r="V69" s="8"/>
    </row>
    <row r="70" spans="1:22" ht="15.75" x14ac:dyDescent="0.25">
      <c r="A70" s="14"/>
      <c r="B70" s="8"/>
      <c r="D70" s="8"/>
      <c r="F70" s="8"/>
      <c r="H70" s="8"/>
      <c r="J70" s="8"/>
      <c r="L70" s="8"/>
      <c r="M70" s="8"/>
      <c r="N70" s="8"/>
      <c r="P70" s="8"/>
      <c r="Q70" s="8"/>
      <c r="R70" s="8"/>
      <c r="T70" s="8"/>
      <c r="V70" s="8"/>
    </row>
    <row r="71" spans="1:22" ht="15.75" x14ac:dyDescent="0.25">
      <c r="A71" s="14"/>
      <c r="B71" s="8"/>
      <c r="D71" s="8"/>
      <c r="F71" s="8"/>
      <c r="H71" s="8"/>
      <c r="J71" s="8"/>
      <c r="L71" s="8"/>
      <c r="M71" s="8"/>
      <c r="N71" s="8"/>
      <c r="P71" s="8"/>
      <c r="Q71" s="8"/>
      <c r="R71" s="8"/>
      <c r="T71" s="8"/>
      <c r="V71" s="8"/>
    </row>
    <row r="72" spans="1:22" ht="15.75" x14ac:dyDescent="0.25">
      <c r="A72" s="14"/>
      <c r="B72" s="8"/>
      <c r="D72" s="8"/>
      <c r="F72" s="8"/>
      <c r="H72" s="8"/>
      <c r="J72" s="8"/>
      <c r="L72" s="8"/>
      <c r="M72" s="8"/>
      <c r="N72" s="8"/>
      <c r="P72" s="8"/>
      <c r="Q72" s="8"/>
      <c r="R72" s="8"/>
      <c r="T72" s="8"/>
      <c r="V72" s="8"/>
    </row>
    <row r="73" spans="1:22" ht="15.75" x14ac:dyDescent="0.25">
      <c r="A73" s="14"/>
      <c r="B73" s="8"/>
      <c r="D73" s="8"/>
      <c r="F73" s="8"/>
      <c r="H73" s="8"/>
      <c r="J73" s="8"/>
      <c r="L73" s="8"/>
      <c r="M73" s="8"/>
      <c r="N73" s="8"/>
      <c r="P73" s="8"/>
      <c r="Q73" s="8"/>
      <c r="R73" s="8"/>
      <c r="T73" s="8"/>
      <c r="V73" s="8"/>
    </row>
    <row r="74" spans="1:22" ht="15.75" x14ac:dyDescent="0.25">
      <c r="A74" s="14"/>
      <c r="B74" s="8"/>
      <c r="D74" s="8"/>
      <c r="F74" s="8"/>
      <c r="H74" s="8"/>
      <c r="J74" s="8"/>
      <c r="L74" s="8"/>
      <c r="M74" s="8"/>
      <c r="N74" s="8"/>
      <c r="P74" s="8"/>
      <c r="Q74" s="8"/>
      <c r="R74" s="8"/>
      <c r="T74" s="8"/>
      <c r="V74" s="8"/>
    </row>
    <row r="75" spans="1:22" ht="15.75" x14ac:dyDescent="0.25">
      <c r="A75" s="14"/>
      <c r="B75" s="8"/>
      <c r="D75" s="8"/>
      <c r="F75" s="8"/>
      <c r="H75" s="8"/>
      <c r="J75" s="8"/>
      <c r="L75" s="8"/>
      <c r="M75" s="8"/>
      <c r="N75" s="8"/>
      <c r="P75" s="8"/>
      <c r="Q75" s="8"/>
      <c r="R75" s="8"/>
      <c r="T75" s="8"/>
      <c r="V75" s="8"/>
    </row>
    <row r="76" spans="1:22" ht="15.75" x14ac:dyDescent="0.25">
      <c r="A76" s="14"/>
      <c r="B76" s="8"/>
      <c r="D76" s="8"/>
      <c r="F76" s="8"/>
      <c r="H76" s="8"/>
      <c r="J76" s="8"/>
      <c r="L76" s="8"/>
      <c r="M76" s="8"/>
      <c r="N76" s="8"/>
      <c r="P76" s="8"/>
      <c r="Q76" s="8"/>
      <c r="R76" s="8"/>
      <c r="T76" s="8"/>
      <c r="V76" s="8"/>
    </row>
    <row r="77" spans="1:22" ht="15.75" x14ac:dyDescent="0.25">
      <c r="A77" s="14"/>
      <c r="B77" s="8"/>
      <c r="D77" s="8"/>
      <c r="F77" s="8"/>
      <c r="H77" s="8"/>
      <c r="J77" s="8"/>
      <c r="L77" s="8"/>
      <c r="M77" s="8"/>
      <c r="N77" s="8"/>
      <c r="P77" s="8"/>
      <c r="Q77" s="8"/>
      <c r="R77" s="8"/>
      <c r="T77" s="8"/>
      <c r="V77" s="8"/>
    </row>
    <row r="78" spans="1:22" ht="15.75" x14ac:dyDescent="0.25">
      <c r="A78" s="14"/>
      <c r="B78" s="8"/>
      <c r="D78" s="8"/>
      <c r="F78" s="8"/>
      <c r="H78" s="8"/>
      <c r="J78" s="8"/>
      <c r="L78" s="8"/>
      <c r="M78" s="8"/>
      <c r="N78" s="8"/>
      <c r="P78" s="8"/>
      <c r="Q78" s="8"/>
      <c r="R78" s="8"/>
      <c r="T78" s="8"/>
      <c r="V78" s="8"/>
    </row>
    <row r="79" spans="1:22" ht="15.75" x14ac:dyDescent="0.25">
      <c r="A79" s="14"/>
      <c r="B79" s="8"/>
      <c r="D79" s="8"/>
      <c r="F79" s="8"/>
      <c r="H79" s="8"/>
      <c r="J79" s="8"/>
      <c r="L79" s="8"/>
      <c r="M79" s="8"/>
      <c r="N79" s="8"/>
      <c r="P79" s="8"/>
      <c r="Q79" s="8"/>
      <c r="R79" s="8"/>
      <c r="T79" s="8"/>
      <c r="V79" s="8"/>
    </row>
    <row r="80" spans="1:22" ht="15.75" x14ac:dyDescent="0.25">
      <c r="A80" s="14"/>
      <c r="B80" s="8"/>
      <c r="D80" s="8"/>
      <c r="F80" s="8"/>
      <c r="H80" s="8"/>
      <c r="J80" s="8"/>
      <c r="L80" s="8"/>
      <c r="M80" s="8"/>
      <c r="N80" s="8"/>
      <c r="P80" s="8"/>
      <c r="Q80" s="8"/>
      <c r="R80" s="8"/>
      <c r="T80" s="8"/>
      <c r="V80" s="8"/>
    </row>
    <row r="81" spans="1:22" ht="15.75" x14ac:dyDescent="0.25">
      <c r="A81" s="14"/>
      <c r="B81" s="8"/>
      <c r="D81" s="8"/>
      <c r="F81" s="8"/>
      <c r="H81" s="8"/>
      <c r="J81" s="8"/>
      <c r="L81" s="8"/>
      <c r="M81" s="8"/>
      <c r="N81" s="8"/>
      <c r="P81" s="8"/>
      <c r="Q81" s="8"/>
      <c r="R81" s="8"/>
      <c r="T81" s="8"/>
      <c r="V81" s="8"/>
    </row>
    <row r="82" spans="1:22" ht="15.75" x14ac:dyDescent="0.25">
      <c r="A82" s="14"/>
      <c r="B82" s="8"/>
      <c r="D82" s="8"/>
      <c r="F82" s="8"/>
      <c r="H82" s="8"/>
      <c r="J82" s="8"/>
      <c r="L82" s="8"/>
      <c r="M82" s="8"/>
      <c r="N82" s="8"/>
      <c r="P82" s="8"/>
      <c r="Q82" s="8"/>
      <c r="R82" s="8"/>
      <c r="T82" s="8"/>
      <c r="V82" s="8"/>
    </row>
    <row r="83" spans="1:22" ht="15.75" x14ac:dyDescent="0.25">
      <c r="A83" s="14"/>
      <c r="B83" s="8"/>
      <c r="D83" s="8"/>
      <c r="F83" s="8"/>
      <c r="H83" s="8"/>
      <c r="J83" s="8"/>
      <c r="L83" s="8"/>
      <c r="M83" s="8"/>
      <c r="N83" s="8"/>
      <c r="P83" s="8"/>
      <c r="Q83" s="8"/>
      <c r="R83" s="8"/>
      <c r="T83" s="8"/>
      <c r="V83" s="8"/>
    </row>
    <row r="84" spans="1:22" ht="15.75" x14ac:dyDescent="0.25">
      <c r="A84" s="14"/>
      <c r="B84" s="8"/>
      <c r="D84" s="8"/>
      <c r="F84" s="8"/>
      <c r="H84" s="8"/>
      <c r="J84" s="8"/>
      <c r="L84" s="8"/>
      <c r="M84" s="8"/>
      <c r="N84" s="8"/>
      <c r="P84" s="8"/>
      <c r="Q84" s="8"/>
      <c r="R84" s="8"/>
      <c r="T84" s="8"/>
      <c r="V84" s="8"/>
    </row>
    <row r="85" spans="1:22" ht="15.75" x14ac:dyDescent="0.25">
      <c r="A85" s="14"/>
      <c r="B85" s="8"/>
      <c r="D85" s="8"/>
      <c r="F85" s="8"/>
      <c r="H85" s="8"/>
      <c r="J85" s="8"/>
      <c r="L85" s="8"/>
      <c r="M85" s="8"/>
      <c r="N85" s="8"/>
      <c r="P85" s="8"/>
      <c r="Q85" s="8"/>
      <c r="R85" s="8"/>
      <c r="T85" s="8"/>
      <c r="V85" s="8"/>
    </row>
    <row r="86" spans="1:22" ht="15.75" x14ac:dyDescent="0.25">
      <c r="A86" s="14"/>
      <c r="B86" s="8"/>
      <c r="D86" s="8"/>
      <c r="F86" s="8"/>
      <c r="H86" s="8"/>
      <c r="J86" s="8"/>
      <c r="L86" s="8"/>
      <c r="M86" s="8"/>
      <c r="N86" s="8"/>
      <c r="P86" s="8"/>
      <c r="Q86" s="8"/>
      <c r="R86" s="8"/>
      <c r="T86" s="8"/>
      <c r="V86" s="8"/>
    </row>
  </sheetData>
  <dataValidations count="13">
    <dataValidation type="list" allowBlank="1" showInputMessage="1" showErrorMessage="1" sqref="S15">
      <formula1>L</formula1>
    </dataValidation>
    <dataValidation type="list" allowBlank="1" showInputMessage="1" showErrorMessage="1" sqref="S12">
      <formula1>Phonics</formula1>
    </dataValidation>
    <dataValidation type="list" allowBlank="1" showInputMessage="1" showErrorMessage="1" sqref="S10">
      <formula1>High_Freq_Words</formula1>
    </dataValidation>
    <dataValidation type="list" allowBlank="1" showInputMessage="1" showErrorMessage="1" sqref="S14">
      <formula1>Lang</formula1>
    </dataValidation>
    <dataValidation type="list" allowBlank="1" showInputMessage="1" showErrorMessage="1" sqref="S16">
      <formula1>Writing</formula1>
    </dataValidation>
    <dataValidation type="list" allowBlank="1" showInputMessage="1" showErrorMessage="1" sqref="S31">
      <formula1>Add_Day</formula1>
    </dataValidation>
    <dataValidation type="list" allowBlank="1" showInputMessage="1" showErrorMessage="1" sqref="S30">
      <formula1>IF(S31="",Shared_Reading,INDIRECT(S31))</formula1>
    </dataValidation>
    <dataValidation type="list" allowBlank="1" showInputMessage="1" showErrorMessage="1" sqref="S18">
      <formula1>Hand_Writing</formula1>
    </dataValidation>
    <dataValidation type="list" allowBlank="1" showInputMessage="1" showErrorMessage="1" sqref="S20">
      <formula1>Spelling</formula1>
    </dataValidation>
    <dataValidation type="list" allowBlank="1" showInputMessage="1" showErrorMessage="1" sqref="S22">
      <formula1>Journal</formula1>
    </dataValidation>
    <dataValidation type="list" allowBlank="1" showInputMessage="1" showErrorMessage="1" sqref="S24">
      <formula1>Math</formula1>
    </dataValidation>
    <dataValidation type="list" allowBlank="1" showInputMessage="1" showErrorMessage="1" sqref="S26">
      <formula1>Science</formula1>
    </dataValidation>
    <dataValidation type="list" allowBlank="1" showInputMessage="1" showErrorMessage="1" sqref="S28">
      <formula1>Social_Studies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odule2.ADDR1">
                <anchor moveWithCells="1" sizeWithCells="1">
                  <from>
                    <xdr:col>20</xdr:col>
                    <xdr:colOff>76200</xdr:colOff>
                    <xdr:row>6</xdr:row>
                    <xdr:rowOff>352425</xdr:rowOff>
                  </from>
                  <to>
                    <xdr:col>21</xdr:col>
                    <xdr:colOff>9525</xdr:colOff>
                    <xdr:row>6</xdr:row>
                    <xdr:rowOff>1047750</xdr:rowOff>
                  </to>
                </anchor>
              </controlPr>
            </control>
          </mc:Choice>
        </mc:AlternateContent>
        <mc:AlternateContent xmlns:mc="http://schemas.openxmlformats.org/markup-compatibility/2006">
          <mc:Choice Requires="x14">
            <control shapeId="1030" r:id="rId5" name="Button 6">
              <controlPr defaultSize="0" print="0" autoFill="0" autoPict="0" macro="[0]!ADDR3">
                <anchor moveWithCells="1" sizeWithCells="1">
                  <from>
                    <xdr:col>20</xdr:col>
                    <xdr:colOff>66675</xdr:colOff>
                    <xdr:row>10</xdr:row>
                    <xdr:rowOff>438150</xdr:rowOff>
                  </from>
                  <to>
                    <xdr:col>20</xdr:col>
                    <xdr:colOff>1828800</xdr:colOff>
                    <xdr:row>10</xdr:row>
                    <xdr:rowOff>1076325</xdr:rowOff>
                  </to>
                </anchor>
              </controlPr>
            </control>
          </mc:Choice>
        </mc:AlternateContent>
        <mc:AlternateContent xmlns:mc="http://schemas.openxmlformats.org/markup-compatibility/2006">
          <mc:Choice Requires="x14">
            <control shapeId="1032" r:id="rId6" name="Button 8">
              <controlPr defaultSize="0" print="0" autoFill="0" autoPict="0" macro="[0]!ADDR4">
                <anchor moveWithCells="1" sizeWithCells="1">
                  <from>
                    <xdr:col>20</xdr:col>
                    <xdr:colOff>66675</xdr:colOff>
                    <xdr:row>12</xdr:row>
                    <xdr:rowOff>457200</xdr:rowOff>
                  </from>
                  <to>
                    <xdr:col>20</xdr:col>
                    <xdr:colOff>1809750</xdr:colOff>
                    <xdr:row>12</xdr:row>
                    <xdr:rowOff>1085850</xdr:rowOff>
                  </to>
                </anchor>
              </controlPr>
            </control>
          </mc:Choice>
        </mc:AlternateContent>
        <mc:AlternateContent xmlns:mc="http://schemas.openxmlformats.org/markup-compatibility/2006">
          <mc:Choice Requires="x14">
            <control shapeId="1035" r:id="rId7" name="Button 11">
              <controlPr defaultSize="0" print="0" autoFill="0" autoPict="0" macro="[0]!MAKEPRETTY">
                <anchor moveWithCells="1" sizeWithCells="1">
                  <from>
                    <xdr:col>18</xdr:col>
                    <xdr:colOff>1371600</xdr:colOff>
                    <xdr:row>0</xdr:row>
                    <xdr:rowOff>0</xdr:rowOff>
                  </from>
                  <to>
                    <xdr:col>18</xdr:col>
                    <xdr:colOff>4552950</xdr:colOff>
                    <xdr:row>2</xdr:row>
                    <xdr:rowOff>276225</xdr:rowOff>
                  </to>
                </anchor>
              </controlPr>
            </control>
          </mc:Choice>
        </mc:AlternateContent>
        <mc:AlternateContent xmlns:mc="http://schemas.openxmlformats.org/markup-compatibility/2006">
          <mc:Choice Requires="x14">
            <control shapeId="1039" r:id="rId8" name="Button 15">
              <controlPr defaultSize="0" print="0" autoFill="0" autoPict="0" macro="[0]!ADDR5">
                <anchor moveWithCells="1" sizeWithCells="1">
                  <from>
                    <xdr:col>20</xdr:col>
                    <xdr:colOff>28575</xdr:colOff>
                    <xdr:row>14</xdr:row>
                    <xdr:rowOff>361950</xdr:rowOff>
                  </from>
                  <to>
                    <xdr:col>20</xdr:col>
                    <xdr:colOff>1743075</xdr:colOff>
                    <xdr:row>14</xdr:row>
                    <xdr:rowOff>1181100</xdr:rowOff>
                  </to>
                </anchor>
              </controlPr>
            </control>
          </mc:Choice>
        </mc:AlternateContent>
        <mc:AlternateContent xmlns:mc="http://schemas.openxmlformats.org/markup-compatibility/2006">
          <mc:Choice Requires="x14">
            <control shapeId="1042" r:id="rId9" name="Button 18">
              <controlPr defaultSize="0" print="0" autoFill="0" autoPict="0" macro="[0]!ADDR2">
                <anchor moveWithCells="1" sizeWithCells="1">
                  <from>
                    <xdr:col>20</xdr:col>
                    <xdr:colOff>123825</xdr:colOff>
                    <xdr:row>8</xdr:row>
                    <xdr:rowOff>447675</xdr:rowOff>
                  </from>
                  <to>
                    <xdr:col>20</xdr:col>
                    <xdr:colOff>1714500</xdr:colOff>
                    <xdr:row>8</xdr:row>
                    <xdr:rowOff>1181100</xdr:rowOff>
                  </to>
                </anchor>
              </controlPr>
            </control>
          </mc:Choice>
        </mc:AlternateContent>
        <mc:AlternateContent xmlns:mc="http://schemas.openxmlformats.org/markup-compatibility/2006">
          <mc:Choice Requires="x14">
            <control shapeId="1043" r:id="rId10" name="Button 19">
              <controlPr defaultSize="0" print="0" autoFill="0" autoPict="0" macro="[0]!ADDR6">
                <anchor moveWithCells="1" sizeWithCells="1">
                  <from>
                    <xdr:col>20</xdr:col>
                    <xdr:colOff>66675</xdr:colOff>
                    <xdr:row>16</xdr:row>
                    <xdr:rowOff>333375</xdr:rowOff>
                  </from>
                  <to>
                    <xdr:col>20</xdr:col>
                    <xdr:colOff>1762125</xdr:colOff>
                    <xdr:row>16</xdr:row>
                    <xdr:rowOff>1047750</xdr:rowOff>
                  </to>
                </anchor>
              </controlPr>
            </control>
          </mc:Choice>
        </mc:AlternateContent>
        <mc:AlternateContent xmlns:mc="http://schemas.openxmlformats.org/markup-compatibility/2006">
          <mc:Choice Requires="x14">
            <control shapeId="1044" r:id="rId11" name="Button 20">
              <controlPr defaultSize="0" print="0" autoFill="0" autoPict="0" macro="[0]!ADDR7">
                <anchor moveWithCells="1" sizeWithCells="1">
                  <from>
                    <xdr:col>20</xdr:col>
                    <xdr:colOff>142875</xdr:colOff>
                    <xdr:row>18</xdr:row>
                    <xdr:rowOff>457200</xdr:rowOff>
                  </from>
                  <to>
                    <xdr:col>20</xdr:col>
                    <xdr:colOff>1743075</xdr:colOff>
                    <xdr:row>18</xdr:row>
                    <xdr:rowOff>1123950</xdr:rowOff>
                  </to>
                </anchor>
              </controlPr>
            </control>
          </mc:Choice>
        </mc:AlternateContent>
        <mc:AlternateContent xmlns:mc="http://schemas.openxmlformats.org/markup-compatibility/2006">
          <mc:Choice Requires="x14">
            <control shapeId="1045" r:id="rId12" name="Button 21">
              <controlPr defaultSize="0" print="0" autoFill="0" autoPict="0" macro="[0]!ADDR8">
                <anchor moveWithCells="1" sizeWithCells="1">
                  <from>
                    <xdr:col>20</xdr:col>
                    <xdr:colOff>123825</xdr:colOff>
                    <xdr:row>20</xdr:row>
                    <xdr:rowOff>438150</xdr:rowOff>
                  </from>
                  <to>
                    <xdr:col>20</xdr:col>
                    <xdr:colOff>1733550</xdr:colOff>
                    <xdr:row>20</xdr:row>
                    <xdr:rowOff>1123950</xdr:rowOff>
                  </to>
                </anchor>
              </controlPr>
            </control>
          </mc:Choice>
        </mc:AlternateContent>
        <mc:AlternateContent xmlns:mc="http://schemas.openxmlformats.org/markup-compatibility/2006">
          <mc:Choice Requires="x14">
            <control shapeId="1046" r:id="rId13" name="Button 22">
              <controlPr defaultSize="0" print="0" autoFill="0" autoPict="0" macro="[0]!ADDR9">
                <anchor moveWithCells="1" sizeWithCells="1">
                  <from>
                    <xdr:col>20</xdr:col>
                    <xdr:colOff>142875</xdr:colOff>
                    <xdr:row>22</xdr:row>
                    <xdr:rowOff>400050</xdr:rowOff>
                  </from>
                  <to>
                    <xdr:col>20</xdr:col>
                    <xdr:colOff>1733550</xdr:colOff>
                    <xdr:row>22</xdr:row>
                    <xdr:rowOff>1123950</xdr:rowOff>
                  </to>
                </anchor>
              </controlPr>
            </control>
          </mc:Choice>
        </mc:AlternateContent>
        <mc:AlternateContent xmlns:mc="http://schemas.openxmlformats.org/markup-compatibility/2006">
          <mc:Choice Requires="x14">
            <control shapeId="1047" r:id="rId14" name="Button 23">
              <controlPr defaultSize="0" print="0" autoFill="0" autoPict="0" macro="[0]!ADDR10">
                <anchor moveWithCells="1" sizeWithCells="1">
                  <from>
                    <xdr:col>20</xdr:col>
                    <xdr:colOff>161925</xdr:colOff>
                    <xdr:row>24</xdr:row>
                    <xdr:rowOff>371475</xdr:rowOff>
                  </from>
                  <to>
                    <xdr:col>20</xdr:col>
                    <xdr:colOff>1762125</xdr:colOff>
                    <xdr:row>24</xdr:row>
                    <xdr:rowOff>1095375</xdr:rowOff>
                  </to>
                </anchor>
              </controlPr>
            </control>
          </mc:Choice>
        </mc:AlternateContent>
        <mc:AlternateContent xmlns:mc="http://schemas.openxmlformats.org/markup-compatibility/2006">
          <mc:Choice Requires="x14">
            <control shapeId="1048" r:id="rId15" name="Button 24">
              <controlPr defaultSize="0" print="0" autoFill="0" autoPict="0" macro="[0]!ADDR11">
                <anchor moveWithCells="1" sizeWithCells="1">
                  <from>
                    <xdr:col>20</xdr:col>
                    <xdr:colOff>133350</xdr:colOff>
                    <xdr:row>26</xdr:row>
                    <xdr:rowOff>352425</xdr:rowOff>
                  </from>
                  <to>
                    <xdr:col>20</xdr:col>
                    <xdr:colOff>1676400</xdr:colOff>
                    <xdr:row>26</xdr:row>
                    <xdr:rowOff>981075</xdr:rowOff>
                  </to>
                </anchor>
              </controlPr>
            </control>
          </mc:Choice>
        </mc:AlternateContent>
        <mc:AlternateContent xmlns:mc="http://schemas.openxmlformats.org/markup-compatibility/2006">
          <mc:Choice Requires="x14">
            <control shapeId="1051" r:id="rId16" name="Button 27">
              <controlPr defaultSize="0" print="0" autoFill="0" autoPict="0" macro="[0]!ADDR12">
                <anchor moveWithCells="1" sizeWithCells="1">
                  <from>
                    <xdr:col>20</xdr:col>
                    <xdr:colOff>152400</xdr:colOff>
                    <xdr:row>28</xdr:row>
                    <xdr:rowOff>438150</xdr:rowOff>
                  </from>
                  <to>
                    <xdr:col>20</xdr:col>
                    <xdr:colOff>1676400</xdr:colOff>
                    <xdr:row>28</xdr:row>
                    <xdr:rowOff>1162050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INDIRECT(VARIABLES!$D$12)</xm:f>
          </x14:formula1>
          <xm:sqref>S8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82"/>
  <sheetViews>
    <sheetView topLeftCell="J9" zoomScale="70" zoomScaleNormal="70" workbookViewId="0">
      <selection activeCell="L12" sqref="L2:L12"/>
    </sheetView>
  </sheetViews>
  <sheetFormatPr defaultRowHeight="15" x14ac:dyDescent="0.25"/>
  <cols>
    <col min="1" max="9" width="81.140625" style="2" customWidth="1"/>
    <col min="10" max="10" width="80.28515625" style="2" customWidth="1"/>
    <col min="11" max="11" width="81.140625" bestFit="1" customWidth="1"/>
    <col min="12" max="12" width="22.85546875" customWidth="1"/>
  </cols>
  <sheetData>
    <row r="1" spans="1:12" ht="33" customHeight="1" x14ac:dyDescent="0.25">
      <c r="A1" s="1" t="str">
        <f>IF(VARIABLES!$B12="","",VARIABLES!$B12)</f>
        <v>Shared Reading</v>
      </c>
      <c r="B1" s="2" t="str">
        <f>IF(VARIABLES!$B14="","",VARIABLES!$B14)</f>
        <v>High Freq. Words</v>
      </c>
      <c r="C1" s="2" t="str">
        <f>IF(VARIABLES!$B16="","",VARIABLES!$B16)</f>
        <v>Phonics</v>
      </c>
      <c r="D1" s="2" t="str">
        <f>IF(VARIABLES!$B18="","",VARIABLES!$B18)</f>
        <v>Lang.</v>
      </c>
      <c r="E1" s="2" t="str">
        <f>IF(VARIABLES!$B20="","",VARIABLES!$B20)</f>
        <v>Writing</v>
      </c>
      <c r="F1" s="2" t="str">
        <f>IF(VARIABLES!$B22="","",VARIABLES!$B22)</f>
        <v>Hand Writing</v>
      </c>
      <c r="G1" s="2" t="str">
        <f>IF(VARIABLES!$B24="","",VARIABLES!$B24)</f>
        <v>Spelling</v>
      </c>
      <c r="H1" s="2" t="str">
        <f>IF(VARIABLES!$B26="","",VARIABLES!$B26)</f>
        <v>Journal</v>
      </c>
      <c r="I1" s="2" t="str">
        <f>IF(VARIABLES!$B28="","",VARIABLES!$B28)</f>
        <v>Math</v>
      </c>
      <c r="J1" s="2" t="str">
        <f>IF(VARIABLES!$B30="","",VARIABLES!$B30)</f>
        <v>Science</v>
      </c>
      <c r="K1" s="2" t="str">
        <f>IF(VARIABLES!$B32="","",VARIABLES!$B32)</f>
        <v>Social Studies</v>
      </c>
      <c r="L1" s="2" t="str">
        <f>IF(VARIABLES!$B34="","",VARIABLES!$B34)</f>
        <v>Add. Day</v>
      </c>
    </row>
    <row r="2" spans="1:12" ht="45" x14ac:dyDescent="0.25">
      <c r="A2" s="1" t="s">
        <v>15</v>
      </c>
      <c r="B2" s="2" t="s">
        <v>33</v>
      </c>
      <c r="C2" s="24" t="s">
        <v>35</v>
      </c>
      <c r="D2" s="2" t="s">
        <v>15</v>
      </c>
      <c r="E2" s="2" t="s">
        <v>113</v>
      </c>
      <c r="F2" s="2" t="s">
        <v>113</v>
      </c>
      <c r="G2" s="2" t="s">
        <v>33</v>
      </c>
      <c r="H2" s="2" t="s">
        <v>15</v>
      </c>
      <c r="I2" s="2" t="s">
        <v>124</v>
      </c>
      <c r="J2" s="2" t="s">
        <v>151</v>
      </c>
      <c r="K2" s="2" t="s">
        <v>185</v>
      </c>
      <c r="L2" s="2" t="s">
        <v>238</v>
      </c>
    </row>
    <row r="3" spans="1:12" ht="60" x14ac:dyDescent="0.25">
      <c r="A3" s="1" t="s">
        <v>16</v>
      </c>
      <c r="B3" s="2" t="s">
        <v>34</v>
      </c>
      <c r="C3" s="24" t="s">
        <v>36</v>
      </c>
      <c r="D3" s="2" t="s">
        <v>16</v>
      </c>
      <c r="E3" s="2" t="s">
        <v>97</v>
      </c>
      <c r="F3" s="2" t="s">
        <v>97</v>
      </c>
      <c r="G3" s="2" t="s">
        <v>34</v>
      </c>
      <c r="H3" s="2" t="s">
        <v>16</v>
      </c>
      <c r="I3" s="2" t="s">
        <v>125</v>
      </c>
      <c r="J3" s="2" t="s">
        <v>152</v>
      </c>
      <c r="K3" s="2" t="s">
        <v>186</v>
      </c>
      <c r="L3" s="2" t="s">
        <v>239</v>
      </c>
    </row>
    <row r="4" spans="1:12" ht="45" x14ac:dyDescent="0.25">
      <c r="A4" s="2" t="s">
        <v>17</v>
      </c>
      <c r="B4" s="2" t="s">
        <v>35</v>
      </c>
      <c r="C4" s="24" t="s">
        <v>37</v>
      </c>
      <c r="D4" s="2" t="s">
        <v>17</v>
      </c>
      <c r="E4" s="2" t="s">
        <v>114</v>
      </c>
      <c r="F4" s="2" t="s">
        <v>114</v>
      </c>
      <c r="G4" s="2" t="s">
        <v>98</v>
      </c>
      <c r="H4" s="2" t="s">
        <v>17</v>
      </c>
      <c r="I4" s="2" t="s">
        <v>126</v>
      </c>
      <c r="J4" s="2" t="s">
        <v>153</v>
      </c>
      <c r="K4" s="2" t="s">
        <v>187</v>
      </c>
      <c r="L4" s="2" t="s">
        <v>0</v>
      </c>
    </row>
    <row r="5" spans="1:12" ht="30" x14ac:dyDescent="0.25">
      <c r="A5" s="2" t="s">
        <v>18</v>
      </c>
      <c r="B5" s="2" t="s">
        <v>36</v>
      </c>
      <c r="C5" s="24" t="s">
        <v>38</v>
      </c>
      <c r="D5" s="2" t="s">
        <v>18</v>
      </c>
      <c r="E5" s="2" t="s">
        <v>115</v>
      </c>
      <c r="F5" s="2" t="s">
        <v>115</v>
      </c>
      <c r="G5" s="2" t="s">
        <v>99</v>
      </c>
      <c r="H5" s="2" t="s">
        <v>18</v>
      </c>
      <c r="I5" s="2" t="s">
        <v>127</v>
      </c>
      <c r="J5" s="2" t="s">
        <v>154</v>
      </c>
      <c r="K5" s="2" t="s">
        <v>188</v>
      </c>
      <c r="L5" s="2" t="s">
        <v>240</v>
      </c>
    </row>
    <row r="6" spans="1:12" ht="60" x14ac:dyDescent="0.25">
      <c r="A6" s="2" t="s">
        <v>19</v>
      </c>
      <c r="B6" s="2" t="s">
        <v>37</v>
      </c>
      <c r="C6" s="24" t="s">
        <v>39</v>
      </c>
      <c r="D6" s="2" t="s">
        <v>19</v>
      </c>
      <c r="E6" s="2" t="s">
        <v>116</v>
      </c>
      <c r="F6" s="2" t="s">
        <v>116</v>
      </c>
      <c r="G6" s="2" t="s">
        <v>100</v>
      </c>
      <c r="H6" s="2" t="s">
        <v>19</v>
      </c>
      <c r="I6" s="2" t="s">
        <v>128</v>
      </c>
      <c r="J6" s="2" t="s">
        <v>155</v>
      </c>
      <c r="K6" s="2" t="s">
        <v>189</v>
      </c>
      <c r="L6" s="2" t="s">
        <v>61</v>
      </c>
    </row>
    <row r="7" spans="1:12" ht="30" x14ac:dyDescent="0.25">
      <c r="A7" s="2" t="s">
        <v>20</v>
      </c>
      <c r="B7" s="2" t="s">
        <v>38</v>
      </c>
      <c r="C7" s="2" t="s">
        <v>40</v>
      </c>
      <c r="D7" s="2" t="s">
        <v>20</v>
      </c>
      <c r="E7" s="2" t="s">
        <v>117</v>
      </c>
      <c r="F7" s="2" t="s">
        <v>117</v>
      </c>
      <c r="G7" s="2" t="s">
        <v>101</v>
      </c>
      <c r="H7" s="2" t="s">
        <v>20</v>
      </c>
      <c r="I7" s="2" t="s">
        <v>129</v>
      </c>
      <c r="J7" s="2" t="s">
        <v>156</v>
      </c>
      <c r="K7" s="2" t="s">
        <v>190</v>
      </c>
      <c r="L7" s="2" t="s">
        <v>237</v>
      </c>
    </row>
    <row r="8" spans="1:12" ht="30" x14ac:dyDescent="0.25">
      <c r="A8" s="2" t="s">
        <v>21</v>
      </c>
      <c r="B8" s="2" t="s">
        <v>39</v>
      </c>
      <c r="C8" s="24" t="s">
        <v>41</v>
      </c>
      <c r="D8" s="2" t="s">
        <v>21</v>
      </c>
      <c r="E8" s="2" t="s">
        <v>118</v>
      </c>
      <c r="F8" s="2" t="s">
        <v>118</v>
      </c>
      <c r="G8" s="2" t="s">
        <v>102</v>
      </c>
      <c r="H8" s="2" t="s">
        <v>21</v>
      </c>
      <c r="I8" s="2" t="s">
        <v>130</v>
      </c>
      <c r="J8" s="2" t="s">
        <v>157</v>
      </c>
      <c r="K8" s="2" t="s">
        <v>191</v>
      </c>
      <c r="L8" s="2" t="s">
        <v>9</v>
      </c>
    </row>
    <row r="9" spans="1:12" ht="90" x14ac:dyDescent="0.25">
      <c r="A9" s="2" t="s">
        <v>22</v>
      </c>
      <c r="B9" s="2" t="s">
        <v>40</v>
      </c>
      <c r="C9" s="24" t="s">
        <v>42</v>
      </c>
      <c r="D9" s="2" t="s">
        <v>22</v>
      </c>
      <c r="E9" s="2" t="s">
        <v>98</v>
      </c>
      <c r="F9" s="2" t="s">
        <v>98</v>
      </c>
      <c r="G9" s="2" t="s">
        <v>119</v>
      </c>
      <c r="H9" s="2" t="s">
        <v>22</v>
      </c>
      <c r="I9" s="2" t="s">
        <v>131</v>
      </c>
      <c r="J9" s="2" t="s">
        <v>158</v>
      </c>
      <c r="K9" s="2" t="s">
        <v>192</v>
      </c>
      <c r="L9" s="2" t="s">
        <v>10</v>
      </c>
    </row>
    <row r="10" spans="1:12" ht="45" x14ac:dyDescent="0.25">
      <c r="A10" s="2" t="s">
        <v>23</v>
      </c>
      <c r="B10" s="2" t="s">
        <v>41</v>
      </c>
      <c r="C10" s="24" t="s">
        <v>43</v>
      </c>
      <c r="D10" s="2" t="s">
        <v>23</v>
      </c>
      <c r="E10" s="2" t="s">
        <v>99</v>
      </c>
      <c r="F10" s="2" t="s">
        <v>99</v>
      </c>
      <c r="G10" s="2" t="s">
        <v>103</v>
      </c>
      <c r="H10" s="2" t="s">
        <v>23</v>
      </c>
      <c r="I10" s="2" t="s">
        <v>132</v>
      </c>
      <c r="J10" s="2" t="s">
        <v>159</v>
      </c>
      <c r="K10" s="2" t="s">
        <v>193</v>
      </c>
      <c r="L10" s="2" t="s">
        <v>62</v>
      </c>
    </row>
    <row r="11" spans="1:12" ht="45" x14ac:dyDescent="0.25">
      <c r="A11" s="2" t="s">
        <v>84</v>
      </c>
      <c r="B11" s="2" t="s">
        <v>42</v>
      </c>
      <c r="C11" s="24" t="s">
        <v>44</v>
      </c>
      <c r="D11" s="2" t="s">
        <v>84</v>
      </c>
      <c r="E11" s="2" t="s">
        <v>100</v>
      </c>
      <c r="F11" s="2" t="s">
        <v>100</v>
      </c>
      <c r="G11" s="2" t="s">
        <v>104</v>
      </c>
      <c r="H11" s="2" t="s">
        <v>84</v>
      </c>
      <c r="I11" s="2" t="s">
        <v>133</v>
      </c>
      <c r="J11" s="2" t="s">
        <v>160</v>
      </c>
      <c r="K11" s="2" t="s">
        <v>194</v>
      </c>
      <c r="L11" s="2" t="s">
        <v>11</v>
      </c>
    </row>
    <row r="12" spans="1:12" ht="30" x14ac:dyDescent="0.25">
      <c r="A12" s="2" t="s">
        <v>85</v>
      </c>
      <c r="B12" s="2" t="s">
        <v>43</v>
      </c>
      <c r="C12" s="24" t="s">
        <v>45</v>
      </c>
      <c r="D12" s="2" t="s">
        <v>85</v>
      </c>
      <c r="E12" s="2" t="s">
        <v>101</v>
      </c>
      <c r="F12" s="2" t="s">
        <v>101</v>
      </c>
      <c r="G12" s="2" t="s">
        <v>105</v>
      </c>
      <c r="H12" s="2" t="s">
        <v>85</v>
      </c>
      <c r="I12" s="2" t="s">
        <v>134</v>
      </c>
      <c r="J12" s="2" t="s">
        <v>161</v>
      </c>
      <c r="K12" s="2" t="s">
        <v>195</v>
      </c>
      <c r="L12" s="2" t="s">
        <v>241</v>
      </c>
    </row>
    <row r="13" spans="1:12" ht="45" x14ac:dyDescent="0.25">
      <c r="A13" s="2" t="s">
        <v>86</v>
      </c>
      <c r="B13" s="2" t="s">
        <v>44</v>
      </c>
      <c r="C13" s="24" t="s">
        <v>46</v>
      </c>
      <c r="D13" s="2" t="s">
        <v>86</v>
      </c>
      <c r="E13" s="2" t="s">
        <v>102</v>
      </c>
      <c r="F13" s="2" t="s">
        <v>102</v>
      </c>
      <c r="G13" s="2" t="s">
        <v>106</v>
      </c>
      <c r="H13" s="2" t="s">
        <v>86</v>
      </c>
      <c r="I13" s="2" t="s">
        <v>136</v>
      </c>
      <c r="J13" s="2" t="s">
        <v>162</v>
      </c>
      <c r="K13" s="2" t="s">
        <v>196</v>
      </c>
      <c r="L13" s="2"/>
    </row>
    <row r="14" spans="1:12" ht="30" x14ac:dyDescent="0.25">
      <c r="A14" s="2" t="s">
        <v>87</v>
      </c>
      <c r="B14" s="2" t="s">
        <v>45</v>
      </c>
      <c r="C14" s="24" t="s">
        <v>47</v>
      </c>
      <c r="D14" s="2" t="s">
        <v>87</v>
      </c>
      <c r="E14" s="2" t="s">
        <v>119</v>
      </c>
      <c r="F14" s="2" t="s">
        <v>119</v>
      </c>
      <c r="G14" s="2" t="s">
        <v>120</v>
      </c>
      <c r="H14" s="2" t="s">
        <v>87</v>
      </c>
      <c r="I14" s="2" t="s">
        <v>137</v>
      </c>
      <c r="J14" s="2" t="s">
        <v>163</v>
      </c>
      <c r="K14" s="2" t="s">
        <v>197</v>
      </c>
      <c r="L14" s="2"/>
    </row>
    <row r="15" spans="1:12" ht="30" x14ac:dyDescent="0.25">
      <c r="A15" s="2" t="s">
        <v>92</v>
      </c>
      <c r="B15" s="2" t="s">
        <v>46</v>
      </c>
      <c r="C15" s="24" t="s">
        <v>48</v>
      </c>
      <c r="D15" s="2" t="s">
        <v>92</v>
      </c>
      <c r="E15" s="2" t="s">
        <v>103</v>
      </c>
      <c r="F15" s="2" t="s">
        <v>103</v>
      </c>
      <c r="G15" s="2" t="s">
        <v>107</v>
      </c>
      <c r="H15" s="2" t="s">
        <v>92</v>
      </c>
      <c r="I15" s="2" t="s">
        <v>138</v>
      </c>
      <c r="J15" s="2" t="s">
        <v>164</v>
      </c>
      <c r="K15" s="2" t="s">
        <v>198</v>
      </c>
      <c r="L15" s="2"/>
    </row>
    <row r="16" spans="1:12" ht="30" x14ac:dyDescent="0.25">
      <c r="A16" s="2" t="s">
        <v>93</v>
      </c>
      <c r="B16" s="2" t="s">
        <v>47</v>
      </c>
      <c r="C16" s="24" t="s">
        <v>49</v>
      </c>
      <c r="D16" s="2" t="s">
        <v>93</v>
      </c>
      <c r="E16" s="2" t="s">
        <v>104</v>
      </c>
      <c r="F16" s="2" t="s">
        <v>104</v>
      </c>
      <c r="G16" s="2" t="s">
        <v>108</v>
      </c>
      <c r="H16" s="2" t="s">
        <v>93</v>
      </c>
      <c r="I16" s="2" t="s">
        <v>139</v>
      </c>
      <c r="J16" s="2" t="s">
        <v>165</v>
      </c>
      <c r="K16" s="2" t="s">
        <v>199</v>
      </c>
      <c r="L16" s="2"/>
    </row>
    <row r="17" spans="1:12" ht="30" x14ac:dyDescent="0.25">
      <c r="A17" s="2" t="s">
        <v>88</v>
      </c>
      <c r="B17" s="2" t="s">
        <v>91</v>
      </c>
      <c r="C17" s="24" t="s">
        <v>50</v>
      </c>
      <c r="D17" s="2" t="s">
        <v>88</v>
      </c>
      <c r="E17" s="2" t="s">
        <v>105</v>
      </c>
      <c r="F17" s="2" t="s">
        <v>105</v>
      </c>
      <c r="G17" s="2" t="s">
        <v>109</v>
      </c>
      <c r="H17" s="2" t="s">
        <v>88</v>
      </c>
      <c r="I17" s="2" t="s">
        <v>140</v>
      </c>
      <c r="J17" s="2" t="s">
        <v>166</v>
      </c>
      <c r="K17" s="2" t="s">
        <v>200</v>
      </c>
      <c r="L17" s="2"/>
    </row>
    <row r="18" spans="1:12" ht="90" x14ac:dyDescent="0.25">
      <c r="A18" s="2" t="s">
        <v>89</v>
      </c>
      <c r="B18" s="2" t="s">
        <v>48</v>
      </c>
      <c r="C18" s="24" t="s">
        <v>51</v>
      </c>
      <c r="D18" s="2" t="s">
        <v>89</v>
      </c>
      <c r="E18" s="2" t="s">
        <v>106</v>
      </c>
      <c r="F18" s="2" t="s">
        <v>106</v>
      </c>
      <c r="G18" s="2" t="s">
        <v>110</v>
      </c>
      <c r="H18" s="2" t="s">
        <v>89</v>
      </c>
      <c r="I18" s="2" t="s">
        <v>141</v>
      </c>
      <c r="J18" s="2" t="s">
        <v>167</v>
      </c>
      <c r="K18" s="2" t="s">
        <v>201</v>
      </c>
      <c r="L18" s="2"/>
    </row>
    <row r="19" spans="1:12" ht="45" x14ac:dyDescent="0.25">
      <c r="A19" s="2" t="s">
        <v>94</v>
      </c>
      <c r="B19" s="2" t="s">
        <v>49</v>
      </c>
      <c r="C19" s="24" t="s">
        <v>113</v>
      </c>
      <c r="D19" s="2" t="s">
        <v>94</v>
      </c>
      <c r="E19" s="2" t="s">
        <v>120</v>
      </c>
      <c r="F19" s="2" t="s">
        <v>120</v>
      </c>
      <c r="G19" s="2" t="s">
        <v>111</v>
      </c>
      <c r="H19" s="2" t="s">
        <v>94</v>
      </c>
      <c r="I19" s="2" t="s">
        <v>142</v>
      </c>
      <c r="J19" s="2" t="s">
        <v>168</v>
      </c>
      <c r="K19" s="2" t="s">
        <v>202</v>
      </c>
      <c r="L19" s="2"/>
    </row>
    <row r="20" spans="1:12" ht="75" x14ac:dyDescent="0.25">
      <c r="A20" s="2" t="s">
        <v>90</v>
      </c>
      <c r="B20" s="2" t="s">
        <v>50</v>
      </c>
      <c r="C20" s="24" t="s">
        <v>97</v>
      </c>
      <c r="D20" s="2" t="s">
        <v>90</v>
      </c>
      <c r="E20" s="2" t="s">
        <v>107</v>
      </c>
      <c r="F20" s="2" t="s">
        <v>107</v>
      </c>
      <c r="G20" s="2" t="s">
        <v>112</v>
      </c>
      <c r="H20" s="2" t="s">
        <v>90</v>
      </c>
      <c r="I20" s="2" t="s">
        <v>143</v>
      </c>
      <c r="J20" s="2" t="s">
        <v>169</v>
      </c>
      <c r="K20" s="2" t="s">
        <v>203</v>
      </c>
      <c r="L20" s="2"/>
    </row>
    <row r="21" spans="1:12" ht="45" x14ac:dyDescent="0.25">
      <c r="A21" s="2" t="s">
        <v>33</v>
      </c>
      <c r="B21" s="2" t="s">
        <v>51</v>
      </c>
      <c r="C21" s="24" t="s">
        <v>114</v>
      </c>
      <c r="D21" s="2" t="s">
        <v>33</v>
      </c>
      <c r="E21" s="2" t="s">
        <v>108</v>
      </c>
      <c r="F21" s="2" t="s">
        <v>108</v>
      </c>
      <c r="G21" s="2" t="s">
        <v>24</v>
      </c>
      <c r="H21" s="2" t="s">
        <v>33</v>
      </c>
      <c r="I21" s="2" t="s">
        <v>144</v>
      </c>
      <c r="J21" s="2" t="s">
        <v>170</v>
      </c>
      <c r="K21" s="2" t="s">
        <v>204</v>
      </c>
      <c r="L21" s="2"/>
    </row>
    <row r="22" spans="1:12" ht="75" x14ac:dyDescent="0.25">
      <c r="A22" s="2" t="s">
        <v>34</v>
      </c>
      <c r="B22" s="2" t="s">
        <v>24</v>
      </c>
      <c r="C22" s="24" t="s">
        <v>115</v>
      </c>
      <c r="D22" s="2" t="s">
        <v>34</v>
      </c>
      <c r="E22" s="2" t="s">
        <v>109</v>
      </c>
      <c r="F22" s="2" t="s">
        <v>109</v>
      </c>
      <c r="G22" s="2" t="s">
        <v>25</v>
      </c>
      <c r="H22" s="2" t="s">
        <v>34</v>
      </c>
      <c r="I22" s="2" t="s">
        <v>145</v>
      </c>
      <c r="J22" s="2" t="s">
        <v>171</v>
      </c>
      <c r="K22" s="2" t="s">
        <v>205</v>
      </c>
      <c r="L22" s="2"/>
    </row>
    <row r="23" spans="1:12" ht="30" x14ac:dyDescent="0.25">
      <c r="A23" s="2" t="s">
        <v>35</v>
      </c>
      <c r="B23" s="2" t="s">
        <v>25</v>
      </c>
      <c r="C23" s="24" t="s">
        <v>116</v>
      </c>
      <c r="D23" s="2" t="s">
        <v>35</v>
      </c>
      <c r="E23" s="2" t="s">
        <v>110</v>
      </c>
      <c r="F23" s="2" t="s">
        <v>110</v>
      </c>
      <c r="G23" s="2" t="s">
        <v>26</v>
      </c>
      <c r="H23" s="2" t="s">
        <v>35</v>
      </c>
      <c r="I23" s="2" t="s">
        <v>146</v>
      </c>
      <c r="J23" s="2" t="s">
        <v>172</v>
      </c>
      <c r="K23" s="2" t="s">
        <v>206</v>
      </c>
      <c r="L23" s="2"/>
    </row>
    <row r="24" spans="1:12" ht="30" x14ac:dyDescent="0.25">
      <c r="A24" s="2" t="s">
        <v>36</v>
      </c>
      <c r="B24" s="2" t="s">
        <v>26</v>
      </c>
      <c r="C24" s="24" t="s">
        <v>117</v>
      </c>
      <c r="D24" s="2" t="s">
        <v>36</v>
      </c>
      <c r="E24" s="2" t="s">
        <v>111</v>
      </c>
      <c r="F24" s="2" t="s">
        <v>111</v>
      </c>
      <c r="G24" s="2" t="s">
        <v>27</v>
      </c>
      <c r="H24" s="2" t="s">
        <v>36</v>
      </c>
      <c r="I24" s="2" t="s">
        <v>135</v>
      </c>
      <c r="J24" s="2" t="s">
        <v>173</v>
      </c>
      <c r="K24" s="2" t="s">
        <v>207</v>
      </c>
      <c r="L24" s="2"/>
    </row>
    <row r="25" spans="1:12" ht="45" x14ac:dyDescent="0.25">
      <c r="A25" s="2" t="s">
        <v>37</v>
      </c>
      <c r="B25" s="2" t="s">
        <v>27</v>
      </c>
      <c r="C25" s="24" t="s">
        <v>118</v>
      </c>
      <c r="D25" s="2" t="s">
        <v>37</v>
      </c>
      <c r="E25" s="2" t="s">
        <v>112</v>
      </c>
      <c r="F25" s="2" t="s">
        <v>112</v>
      </c>
      <c r="G25" s="2" t="s">
        <v>28</v>
      </c>
      <c r="H25" s="2" t="s">
        <v>37</v>
      </c>
      <c r="J25" s="2" t="s">
        <v>174</v>
      </c>
      <c r="K25" s="2" t="s">
        <v>208</v>
      </c>
      <c r="L25" s="2"/>
    </row>
    <row r="26" spans="1:12" ht="45" x14ac:dyDescent="0.25">
      <c r="A26" s="2" t="s">
        <v>38</v>
      </c>
      <c r="B26" s="2" t="s">
        <v>28</v>
      </c>
      <c r="C26" s="24" t="s">
        <v>52</v>
      </c>
      <c r="D26" s="2" t="s">
        <v>38</v>
      </c>
      <c r="G26" s="2" t="s">
        <v>29</v>
      </c>
      <c r="H26" s="2" t="s">
        <v>38</v>
      </c>
      <c r="I26" s="2" t="s">
        <v>148</v>
      </c>
      <c r="J26" s="2" t="s">
        <v>175</v>
      </c>
      <c r="K26" s="2" t="s">
        <v>209</v>
      </c>
      <c r="L26" s="2"/>
    </row>
    <row r="27" spans="1:12" ht="60" x14ac:dyDescent="0.25">
      <c r="A27" s="2" t="s">
        <v>39</v>
      </c>
      <c r="B27" s="2" t="s">
        <v>29</v>
      </c>
      <c r="C27" s="24" t="s">
        <v>53</v>
      </c>
      <c r="D27" s="2" t="s">
        <v>39</v>
      </c>
      <c r="G27" s="2" t="s">
        <v>30</v>
      </c>
      <c r="H27" s="2" t="s">
        <v>39</v>
      </c>
      <c r="I27" s="2" t="s">
        <v>149</v>
      </c>
      <c r="J27" s="2" t="s">
        <v>176</v>
      </c>
      <c r="K27" s="2" t="s">
        <v>210</v>
      </c>
      <c r="L27" s="2"/>
    </row>
    <row r="28" spans="1:12" ht="60" x14ac:dyDescent="0.25">
      <c r="A28" s="2" t="s">
        <v>40</v>
      </c>
      <c r="B28" s="2" t="s">
        <v>30</v>
      </c>
      <c r="C28" s="24" t="s">
        <v>54</v>
      </c>
      <c r="D28" s="2" t="s">
        <v>40</v>
      </c>
      <c r="G28" s="2" t="s">
        <v>31</v>
      </c>
      <c r="H28" s="2" t="s">
        <v>40</v>
      </c>
      <c r="I28" s="2" t="s">
        <v>150</v>
      </c>
      <c r="J28" s="2" t="s">
        <v>177</v>
      </c>
      <c r="K28" s="2" t="s">
        <v>211</v>
      </c>
      <c r="L28" s="2"/>
    </row>
    <row r="29" spans="1:12" ht="45" x14ac:dyDescent="0.25">
      <c r="A29" s="2" t="s">
        <v>41</v>
      </c>
      <c r="B29" s="2" t="s">
        <v>31</v>
      </c>
      <c r="C29" s="24" t="s">
        <v>55</v>
      </c>
      <c r="D29" s="2" t="s">
        <v>41</v>
      </c>
      <c r="G29" s="2" t="s">
        <v>32</v>
      </c>
      <c r="H29" s="2" t="s">
        <v>41</v>
      </c>
      <c r="I29" s="2" t="s">
        <v>147</v>
      </c>
      <c r="J29" s="2" t="s">
        <v>178</v>
      </c>
      <c r="K29" s="2" t="s">
        <v>212</v>
      </c>
      <c r="L29" s="2"/>
    </row>
    <row r="30" spans="1:12" ht="45" x14ac:dyDescent="0.25">
      <c r="A30" s="2" t="s">
        <v>42</v>
      </c>
      <c r="B30" s="2" t="s">
        <v>32</v>
      </c>
      <c r="C30" s="24" t="s">
        <v>56</v>
      </c>
      <c r="D30" s="2" t="s">
        <v>42</v>
      </c>
      <c r="H30" s="2" t="s">
        <v>42</v>
      </c>
      <c r="J30" s="2" t="s">
        <v>179</v>
      </c>
      <c r="K30" s="2" t="s">
        <v>213</v>
      </c>
      <c r="L30" s="2"/>
    </row>
    <row r="31" spans="1:12" ht="30" x14ac:dyDescent="0.25">
      <c r="A31" s="2" t="s">
        <v>43</v>
      </c>
      <c r="C31" s="24" t="s">
        <v>57</v>
      </c>
      <c r="D31" s="2" t="s">
        <v>43</v>
      </c>
      <c r="G31" s="2" t="s">
        <v>122</v>
      </c>
      <c r="H31" s="2" t="s">
        <v>43</v>
      </c>
      <c r="J31" s="2" t="s">
        <v>180</v>
      </c>
      <c r="K31" s="2" t="s">
        <v>214</v>
      </c>
      <c r="L31" s="2"/>
    </row>
    <row r="32" spans="1:12" ht="30" x14ac:dyDescent="0.25">
      <c r="A32" s="2" t="s">
        <v>44</v>
      </c>
      <c r="C32" s="24" t="s">
        <v>58</v>
      </c>
      <c r="D32" s="2" t="s">
        <v>44</v>
      </c>
      <c r="H32" s="2" t="s">
        <v>44</v>
      </c>
      <c r="J32" s="2" t="s">
        <v>181</v>
      </c>
      <c r="K32" s="2" t="s">
        <v>215</v>
      </c>
      <c r="L32" s="2"/>
    </row>
    <row r="33" spans="1:12" ht="30" x14ac:dyDescent="0.25">
      <c r="A33" s="2" t="s">
        <v>45</v>
      </c>
      <c r="C33" s="24" t="s">
        <v>59</v>
      </c>
      <c r="D33" s="2" t="s">
        <v>45</v>
      </c>
      <c r="H33" s="2" t="s">
        <v>45</v>
      </c>
      <c r="J33" s="2" t="s">
        <v>182</v>
      </c>
      <c r="K33" s="2" t="s">
        <v>216</v>
      </c>
      <c r="L33" s="2"/>
    </row>
    <row r="34" spans="1:12" ht="30" x14ac:dyDescent="0.25">
      <c r="A34" s="2" t="s">
        <v>46</v>
      </c>
      <c r="C34" s="24" t="s">
        <v>60</v>
      </c>
      <c r="D34" s="2" t="s">
        <v>46</v>
      </c>
      <c r="E34" s="2" t="s">
        <v>122</v>
      </c>
      <c r="F34" s="2" t="s">
        <v>122</v>
      </c>
      <c r="H34" s="2" t="s">
        <v>46</v>
      </c>
      <c r="J34" s="2" t="s">
        <v>183</v>
      </c>
      <c r="K34" s="2" t="s">
        <v>217</v>
      </c>
      <c r="L34" s="2"/>
    </row>
    <row r="35" spans="1:12" ht="30" x14ac:dyDescent="0.25">
      <c r="A35" s="2" t="s">
        <v>47</v>
      </c>
      <c r="C35" s="24" t="s">
        <v>98</v>
      </c>
      <c r="D35" s="2" t="s">
        <v>47</v>
      </c>
      <c r="H35" s="2" t="s">
        <v>47</v>
      </c>
      <c r="J35" s="2" t="s">
        <v>184</v>
      </c>
      <c r="K35" s="2" t="s">
        <v>218</v>
      </c>
      <c r="L35" s="2"/>
    </row>
    <row r="36" spans="1:12" ht="30" x14ac:dyDescent="0.25">
      <c r="A36" s="2" t="s">
        <v>48</v>
      </c>
      <c r="C36" s="24" t="s">
        <v>99</v>
      </c>
      <c r="D36" s="2" t="s">
        <v>48</v>
      </c>
      <c r="H36" s="2" t="s">
        <v>123</v>
      </c>
      <c r="K36" s="2" t="s">
        <v>219</v>
      </c>
      <c r="L36" s="2"/>
    </row>
    <row r="37" spans="1:12" x14ac:dyDescent="0.25">
      <c r="A37" s="2" t="s">
        <v>49</v>
      </c>
      <c r="C37" s="24" t="s">
        <v>100</v>
      </c>
      <c r="D37" s="2" t="s">
        <v>49</v>
      </c>
      <c r="H37" s="2" t="s">
        <v>48</v>
      </c>
      <c r="K37" s="2" t="s">
        <v>220</v>
      </c>
      <c r="L37" s="2"/>
    </row>
    <row r="38" spans="1:12" ht="30" x14ac:dyDescent="0.25">
      <c r="A38" s="2" t="s">
        <v>50</v>
      </c>
      <c r="C38" s="24" t="s">
        <v>101</v>
      </c>
      <c r="D38" s="2" t="s">
        <v>50</v>
      </c>
      <c r="H38" s="2" t="s">
        <v>49</v>
      </c>
      <c r="K38" s="2" t="s">
        <v>221</v>
      </c>
      <c r="L38" s="2"/>
    </row>
    <row r="39" spans="1:12" ht="30" x14ac:dyDescent="0.25">
      <c r="A39" s="2" t="s">
        <v>51</v>
      </c>
      <c r="C39" s="24" t="s">
        <v>102</v>
      </c>
      <c r="D39" s="2" t="s">
        <v>51</v>
      </c>
      <c r="H39" s="2" t="s">
        <v>50</v>
      </c>
      <c r="K39" s="2" t="s">
        <v>222</v>
      </c>
      <c r="L39" s="2"/>
    </row>
    <row r="40" spans="1:12" ht="45" x14ac:dyDescent="0.25">
      <c r="A40" s="2" t="s">
        <v>52</v>
      </c>
      <c r="C40" s="24" t="s">
        <v>119</v>
      </c>
      <c r="D40" s="2" t="s">
        <v>113</v>
      </c>
      <c r="H40" s="2" t="s">
        <v>51</v>
      </c>
      <c r="K40" s="2" t="s">
        <v>223</v>
      </c>
      <c r="L40" s="2"/>
    </row>
    <row r="41" spans="1:12" ht="45" x14ac:dyDescent="0.25">
      <c r="A41" s="2" t="s">
        <v>53</v>
      </c>
      <c r="C41" s="24" t="s">
        <v>103</v>
      </c>
      <c r="D41" s="2" t="s">
        <v>97</v>
      </c>
      <c r="H41" s="2" t="s">
        <v>113</v>
      </c>
      <c r="K41" s="2" t="s">
        <v>224</v>
      </c>
      <c r="L41" s="2"/>
    </row>
    <row r="42" spans="1:12" ht="45" x14ac:dyDescent="0.25">
      <c r="A42" s="2" t="s">
        <v>54</v>
      </c>
      <c r="C42" s="24" t="s">
        <v>104</v>
      </c>
      <c r="D42" s="2" t="s">
        <v>114</v>
      </c>
      <c r="H42" s="2" t="s">
        <v>97</v>
      </c>
      <c r="K42" s="2" t="s">
        <v>225</v>
      </c>
      <c r="L42" s="2"/>
    </row>
    <row r="43" spans="1:12" ht="45" x14ac:dyDescent="0.25">
      <c r="A43" s="2" t="s">
        <v>55</v>
      </c>
      <c r="C43" s="24" t="s">
        <v>105</v>
      </c>
      <c r="D43" s="2" t="s">
        <v>115</v>
      </c>
      <c r="H43" s="2" t="s">
        <v>114</v>
      </c>
      <c r="K43" s="2" t="s">
        <v>226</v>
      </c>
      <c r="L43" s="2"/>
    </row>
    <row r="44" spans="1:12" ht="30" x14ac:dyDescent="0.25">
      <c r="A44" s="2" t="s">
        <v>56</v>
      </c>
      <c r="C44" s="24" t="s">
        <v>106</v>
      </c>
      <c r="D44" s="2" t="s">
        <v>116</v>
      </c>
      <c r="H44" s="2" t="s">
        <v>115</v>
      </c>
      <c r="K44" s="2" t="s">
        <v>227</v>
      </c>
      <c r="L44" s="2"/>
    </row>
    <row r="45" spans="1:12" ht="30" x14ac:dyDescent="0.25">
      <c r="A45" s="2" t="s">
        <v>57</v>
      </c>
      <c r="C45" s="24" t="s">
        <v>120</v>
      </c>
      <c r="D45" s="2" t="s">
        <v>117</v>
      </c>
      <c r="H45" s="2" t="s">
        <v>116</v>
      </c>
      <c r="K45" s="2" t="s">
        <v>228</v>
      </c>
      <c r="L45" s="2"/>
    </row>
    <row r="46" spans="1:12" ht="30" x14ac:dyDescent="0.25">
      <c r="A46" s="2" t="s">
        <v>58</v>
      </c>
      <c r="C46" s="24" t="s">
        <v>107</v>
      </c>
      <c r="D46" s="2" t="s">
        <v>118</v>
      </c>
      <c r="H46" s="2" t="s">
        <v>117</v>
      </c>
      <c r="K46" s="2" t="s">
        <v>229</v>
      </c>
      <c r="L46" s="2"/>
    </row>
    <row r="47" spans="1:12" ht="30" x14ac:dyDescent="0.25">
      <c r="A47" s="2" t="s">
        <v>59</v>
      </c>
      <c r="C47" s="24" t="s">
        <v>108</v>
      </c>
      <c r="D47" s="2" t="s">
        <v>52</v>
      </c>
      <c r="H47" s="2" t="s">
        <v>118</v>
      </c>
      <c r="K47" s="2" t="s">
        <v>230</v>
      </c>
      <c r="L47" s="2"/>
    </row>
    <row r="48" spans="1:12" ht="30" x14ac:dyDescent="0.25">
      <c r="A48" s="2" t="s">
        <v>60</v>
      </c>
      <c r="C48" s="24" t="s">
        <v>109</v>
      </c>
      <c r="D48" s="2" t="s">
        <v>53</v>
      </c>
      <c r="H48" s="2" t="s">
        <v>52</v>
      </c>
      <c r="K48" s="2" t="s">
        <v>231</v>
      </c>
      <c r="L48" s="2"/>
    </row>
    <row r="49" spans="1:12" ht="45" x14ac:dyDescent="0.25">
      <c r="A49" s="2" t="s">
        <v>24</v>
      </c>
      <c r="C49" s="24" t="s">
        <v>110</v>
      </c>
      <c r="D49" s="2" t="s">
        <v>54</v>
      </c>
      <c r="H49" s="2" t="s">
        <v>53</v>
      </c>
      <c r="K49" s="2" t="s">
        <v>232</v>
      </c>
      <c r="L49" s="2"/>
    </row>
    <row r="50" spans="1:12" ht="30" x14ac:dyDescent="0.25">
      <c r="A50" s="2" t="s">
        <v>25</v>
      </c>
      <c r="C50" s="24" t="s">
        <v>111</v>
      </c>
      <c r="D50" s="2" t="s">
        <v>55</v>
      </c>
      <c r="H50" s="2" t="s">
        <v>54</v>
      </c>
      <c r="K50" s="2" t="s">
        <v>233</v>
      </c>
      <c r="L50" s="2"/>
    </row>
    <row r="51" spans="1:12" ht="30" x14ac:dyDescent="0.25">
      <c r="A51" s="2" t="s">
        <v>26</v>
      </c>
      <c r="C51" s="24" t="s">
        <v>112</v>
      </c>
      <c r="D51" s="2" t="s">
        <v>56</v>
      </c>
      <c r="H51" s="2" t="s">
        <v>55</v>
      </c>
      <c r="K51" s="2" t="s">
        <v>234</v>
      </c>
      <c r="L51" s="2"/>
    </row>
    <row r="52" spans="1:12" ht="45" x14ac:dyDescent="0.25">
      <c r="A52" s="2" t="s">
        <v>27</v>
      </c>
      <c r="C52" s="24" t="s">
        <v>24</v>
      </c>
      <c r="D52" s="2" t="s">
        <v>57</v>
      </c>
      <c r="H52" s="2" t="s">
        <v>56</v>
      </c>
      <c r="K52" s="2" t="s">
        <v>235</v>
      </c>
      <c r="L52" s="2"/>
    </row>
    <row r="53" spans="1:12" ht="30" x14ac:dyDescent="0.25">
      <c r="A53" s="2" t="s">
        <v>28</v>
      </c>
      <c r="C53" s="24" t="s">
        <v>25</v>
      </c>
      <c r="D53" s="2" t="s">
        <v>58</v>
      </c>
      <c r="H53" s="2" t="s">
        <v>57</v>
      </c>
      <c r="K53" s="2" t="s">
        <v>236</v>
      </c>
      <c r="L53" s="2"/>
    </row>
    <row r="54" spans="1:12" ht="30" x14ac:dyDescent="0.25">
      <c r="A54" s="2" t="s">
        <v>29</v>
      </c>
      <c r="C54" s="24" t="s">
        <v>26</v>
      </c>
      <c r="D54" s="2" t="s">
        <v>59</v>
      </c>
      <c r="H54" s="2" t="s">
        <v>58</v>
      </c>
      <c r="K54" s="2"/>
      <c r="L54" s="2"/>
    </row>
    <row r="55" spans="1:12" ht="30" x14ac:dyDescent="0.25">
      <c r="A55" s="2" t="s">
        <v>30</v>
      </c>
      <c r="C55" s="24" t="s">
        <v>27</v>
      </c>
      <c r="D55" s="2" t="s">
        <v>60</v>
      </c>
      <c r="H55" s="2" t="s">
        <v>59</v>
      </c>
      <c r="K55" s="2"/>
      <c r="L55" s="2"/>
    </row>
    <row r="56" spans="1:12" ht="30" x14ac:dyDescent="0.25">
      <c r="A56" s="2" t="s">
        <v>31</v>
      </c>
      <c r="C56" s="24" t="s">
        <v>28</v>
      </c>
      <c r="D56" s="2" t="s">
        <v>98</v>
      </c>
      <c r="H56" s="2" t="s">
        <v>60</v>
      </c>
      <c r="K56" s="2"/>
      <c r="L56" s="2"/>
    </row>
    <row r="57" spans="1:12" ht="45" x14ac:dyDescent="0.25">
      <c r="A57" s="2" t="s">
        <v>32</v>
      </c>
      <c r="C57" s="24" t="s">
        <v>29</v>
      </c>
      <c r="D57" s="2" t="s">
        <v>99</v>
      </c>
      <c r="H57" s="2" t="s">
        <v>98</v>
      </c>
      <c r="K57" s="2"/>
      <c r="L57" s="2"/>
    </row>
    <row r="58" spans="1:12" ht="30" x14ac:dyDescent="0.25">
      <c r="C58" s="24" t="s">
        <v>30</v>
      </c>
      <c r="D58" s="2" t="s">
        <v>100</v>
      </c>
      <c r="H58" s="2" t="s">
        <v>99</v>
      </c>
      <c r="K58" s="2"/>
      <c r="L58" s="2"/>
    </row>
    <row r="59" spans="1:12" ht="30" x14ac:dyDescent="0.25">
      <c r="C59" s="24" t="s">
        <v>31</v>
      </c>
      <c r="D59" s="2" t="s">
        <v>101</v>
      </c>
      <c r="H59" s="2" t="s">
        <v>100</v>
      </c>
      <c r="K59" s="2"/>
      <c r="L59" s="2"/>
    </row>
    <row r="60" spans="1:12" ht="45" x14ac:dyDescent="0.25">
      <c r="C60" s="24" t="s">
        <v>121</v>
      </c>
      <c r="D60" s="2" t="s">
        <v>102</v>
      </c>
      <c r="H60" s="2" t="s">
        <v>101</v>
      </c>
      <c r="K60" s="2"/>
      <c r="L60" s="2"/>
    </row>
    <row r="61" spans="1:12" ht="45" x14ac:dyDescent="0.25">
      <c r="C61" s="24" t="s">
        <v>32</v>
      </c>
      <c r="D61" s="2" t="s">
        <v>119</v>
      </c>
      <c r="H61" s="2" t="s">
        <v>102</v>
      </c>
      <c r="K61" s="2"/>
      <c r="L61" s="2"/>
    </row>
    <row r="62" spans="1:12" ht="30" x14ac:dyDescent="0.25">
      <c r="D62" s="2" t="s">
        <v>103</v>
      </c>
      <c r="H62" s="2" t="s">
        <v>119</v>
      </c>
      <c r="K62" s="2"/>
      <c r="L62" s="2"/>
    </row>
    <row r="63" spans="1:12" x14ac:dyDescent="0.25">
      <c r="D63" s="2" t="s">
        <v>104</v>
      </c>
      <c r="H63" s="2" t="s">
        <v>103</v>
      </c>
      <c r="K63" s="2"/>
      <c r="L63" s="2"/>
    </row>
    <row r="64" spans="1:12" x14ac:dyDescent="0.25">
      <c r="C64" s="24"/>
      <c r="D64" s="2" t="s">
        <v>105</v>
      </c>
      <c r="H64" s="2" t="s">
        <v>104</v>
      </c>
      <c r="K64" s="2"/>
      <c r="L64" s="2"/>
    </row>
    <row r="65" spans="4:12" x14ac:dyDescent="0.25">
      <c r="D65" s="2" t="s">
        <v>106</v>
      </c>
      <c r="H65" s="2" t="s">
        <v>105</v>
      </c>
      <c r="K65" s="2"/>
      <c r="L65" s="2"/>
    </row>
    <row r="66" spans="4:12" ht="30" x14ac:dyDescent="0.25">
      <c r="D66" s="2" t="s">
        <v>120</v>
      </c>
      <c r="H66" s="2" t="s">
        <v>106</v>
      </c>
      <c r="K66" s="2"/>
      <c r="L66" s="2"/>
    </row>
    <row r="67" spans="4:12" ht="30" x14ac:dyDescent="0.25">
      <c r="D67" s="2" t="s">
        <v>107</v>
      </c>
      <c r="H67" s="2" t="s">
        <v>120</v>
      </c>
      <c r="K67" s="2"/>
      <c r="L67" s="2"/>
    </row>
    <row r="68" spans="4:12" ht="30" x14ac:dyDescent="0.25">
      <c r="D68" s="2" t="s">
        <v>108</v>
      </c>
      <c r="H68" s="2" t="s">
        <v>107</v>
      </c>
      <c r="K68" s="2"/>
      <c r="L68" s="2"/>
    </row>
    <row r="69" spans="4:12" x14ac:dyDescent="0.25">
      <c r="D69" s="2" t="s">
        <v>109</v>
      </c>
      <c r="H69" s="2" t="s">
        <v>108</v>
      </c>
      <c r="K69" s="2"/>
      <c r="L69" s="2"/>
    </row>
    <row r="70" spans="4:12" x14ac:dyDescent="0.25">
      <c r="D70" s="2" t="s">
        <v>110</v>
      </c>
      <c r="H70" s="2" t="s">
        <v>109</v>
      </c>
      <c r="K70" s="2"/>
      <c r="L70" s="2"/>
    </row>
    <row r="71" spans="4:12" ht="30" x14ac:dyDescent="0.25">
      <c r="D71" s="2" t="s">
        <v>111</v>
      </c>
      <c r="H71" s="2" t="s">
        <v>110</v>
      </c>
      <c r="K71" s="2"/>
      <c r="L71" s="2"/>
    </row>
    <row r="72" spans="4:12" ht="30" x14ac:dyDescent="0.25">
      <c r="D72" s="2" t="s">
        <v>112</v>
      </c>
      <c r="H72" s="2" t="s">
        <v>111</v>
      </c>
      <c r="K72" s="2"/>
      <c r="L72" s="2"/>
    </row>
    <row r="73" spans="4:12" ht="45" x14ac:dyDescent="0.25">
      <c r="D73" s="2" t="s">
        <v>24</v>
      </c>
      <c r="H73" s="2" t="s">
        <v>112</v>
      </c>
      <c r="K73" s="2"/>
      <c r="L73" s="2"/>
    </row>
    <row r="74" spans="4:12" ht="45" x14ac:dyDescent="0.25">
      <c r="D74" s="2" t="s">
        <v>25</v>
      </c>
      <c r="H74" s="2" t="s">
        <v>24</v>
      </c>
      <c r="K74" s="2"/>
      <c r="L74" s="2"/>
    </row>
    <row r="75" spans="4:12" x14ac:dyDescent="0.25">
      <c r="D75" s="2" t="s">
        <v>26</v>
      </c>
      <c r="H75" s="2" t="s">
        <v>25</v>
      </c>
      <c r="K75" s="2"/>
      <c r="L75" s="2"/>
    </row>
    <row r="76" spans="4:12" ht="30" x14ac:dyDescent="0.25">
      <c r="D76" s="2" t="s">
        <v>27</v>
      </c>
      <c r="H76" s="2" t="s">
        <v>26</v>
      </c>
      <c r="K76" s="2"/>
      <c r="L76" s="2"/>
    </row>
    <row r="77" spans="4:12" ht="30" x14ac:dyDescent="0.25">
      <c r="D77" s="2" t="s">
        <v>28</v>
      </c>
      <c r="H77" s="2" t="s">
        <v>27</v>
      </c>
      <c r="K77" s="2"/>
      <c r="L77" s="2"/>
    </row>
    <row r="78" spans="4:12" ht="30" x14ac:dyDescent="0.25">
      <c r="D78" s="2" t="s">
        <v>29</v>
      </c>
      <c r="H78" s="2" t="s">
        <v>28</v>
      </c>
      <c r="K78" s="2"/>
      <c r="L78" s="2"/>
    </row>
    <row r="79" spans="4:12" ht="30" x14ac:dyDescent="0.25">
      <c r="D79" s="2" t="s">
        <v>30</v>
      </c>
      <c r="H79" s="2" t="s">
        <v>29</v>
      </c>
      <c r="K79" s="2"/>
      <c r="L79" s="2"/>
    </row>
    <row r="80" spans="4:12" ht="30" x14ac:dyDescent="0.25">
      <c r="D80" s="2" t="s">
        <v>31</v>
      </c>
      <c r="H80" s="2" t="s">
        <v>30</v>
      </c>
      <c r="K80" s="2"/>
      <c r="L80" s="2"/>
    </row>
    <row r="81" spans="4:12" ht="45" x14ac:dyDescent="0.25">
      <c r="D81" s="2" t="s">
        <v>32</v>
      </c>
      <c r="H81" s="2" t="s">
        <v>31</v>
      </c>
      <c r="K81" s="2"/>
      <c r="L81" s="2"/>
    </row>
    <row r="82" spans="4:12" ht="45" x14ac:dyDescent="0.25">
      <c r="H82" s="2" t="s">
        <v>32</v>
      </c>
      <c r="K82" s="2"/>
      <c r="L82"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34"/>
  <sheetViews>
    <sheetView topLeftCell="A8" workbookViewId="0">
      <selection activeCell="H3" sqref="H3"/>
    </sheetView>
  </sheetViews>
  <sheetFormatPr defaultRowHeight="15" x14ac:dyDescent="0.25"/>
  <cols>
    <col min="1" max="1" width="18.5703125" customWidth="1"/>
    <col min="2" max="2" width="30.28515625" customWidth="1"/>
    <col min="3" max="3" width="18.5703125" customWidth="1"/>
    <col min="4" max="4" width="20.42578125" customWidth="1"/>
    <col min="5" max="15" width="18.5703125" customWidth="1"/>
  </cols>
  <sheetData>
    <row r="1" spans="1:16" x14ac:dyDescent="0.25">
      <c r="A1" t="s">
        <v>65</v>
      </c>
      <c r="B1">
        <v>5</v>
      </c>
      <c r="C1" t="s">
        <v>66</v>
      </c>
      <c r="D1">
        <v>6</v>
      </c>
    </row>
    <row r="2" spans="1:16" ht="15.75" x14ac:dyDescent="0.25">
      <c r="A2" t="s">
        <v>68</v>
      </c>
      <c r="B2" s="3" t="s">
        <v>72</v>
      </c>
      <c r="C2" s="3" t="s">
        <v>1</v>
      </c>
      <c r="D2" s="3" t="s">
        <v>2</v>
      </c>
      <c r="E2" s="3" t="s">
        <v>3</v>
      </c>
      <c r="F2" s="3" t="s">
        <v>4</v>
      </c>
      <c r="G2" s="3" t="s">
        <v>5</v>
      </c>
      <c r="H2" s="3" t="s">
        <v>69</v>
      </c>
    </row>
    <row r="3" spans="1:16" ht="15.75" x14ac:dyDescent="0.25">
      <c r="A3" t="s">
        <v>70</v>
      </c>
      <c r="B3" s="3">
        <v>1</v>
      </c>
      <c r="C3" s="3">
        <v>3</v>
      </c>
      <c r="D3" s="3">
        <f>C3+2</f>
        <v>5</v>
      </c>
      <c r="E3" s="3">
        <f>D3+4</f>
        <v>9</v>
      </c>
      <c r="F3" s="3">
        <f>E3+2</f>
        <v>11</v>
      </c>
      <c r="G3" s="3">
        <f>F3+4</f>
        <v>15</v>
      </c>
      <c r="H3" s="3">
        <v>19</v>
      </c>
    </row>
    <row r="7" spans="1:16" x14ac:dyDescent="0.25">
      <c r="C7" s="4"/>
      <c r="E7" s="4"/>
      <c r="F7" s="4"/>
      <c r="G7" s="4"/>
      <c r="H7" s="4"/>
      <c r="I7" s="4"/>
      <c r="J7" s="4"/>
      <c r="K7" s="4"/>
      <c r="L7" s="4"/>
      <c r="M7" s="4"/>
      <c r="N7" s="4"/>
      <c r="O7" s="4"/>
      <c r="P7" s="4"/>
    </row>
    <row r="8" spans="1:16" x14ac:dyDescent="0.25">
      <c r="H8" s="4"/>
      <c r="I8" s="4"/>
      <c r="J8" s="4"/>
      <c r="K8" s="4"/>
      <c r="L8" s="4"/>
      <c r="M8" s="4"/>
      <c r="N8" s="4"/>
      <c r="O8" s="4"/>
      <c r="P8" s="4"/>
    </row>
    <row r="9" spans="1:16" x14ac:dyDescent="0.25">
      <c r="B9" t="s">
        <v>67</v>
      </c>
      <c r="C9" t="s">
        <v>71</v>
      </c>
      <c r="D9" t="s">
        <v>73</v>
      </c>
    </row>
    <row r="10" spans="1:16" ht="15.75" x14ac:dyDescent="0.25">
      <c r="B10" t="s">
        <v>78</v>
      </c>
      <c r="C10" s="3">
        <v>5</v>
      </c>
      <c r="D10" t="s">
        <v>74</v>
      </c>
    </row>
    <row r="11" spans="1:16" s="4" customFormat="1" x14ac:dyDescent="0.25">
      <c r="C11" s="4">
        <f>C10+1</f>
        <v>6</v>
      </c>
    </row>
    <row r="12" spans="1:16" ht="15.75" x14ac:dyDescent="0.25">
      <c r="B12" s="3" t="s">
        <v>7</v>
      </c>
      <c r="C12" s="4">
        <f t="shared" ref="C12:C34" si="0">C11+1</f>
        <v>7</v>
      </c>
      <c r="D12" s="15" t="s">
        <v>95</v>
      </c>
    </row>
    <row r="13" spans="1:16" x14ac:dyDescent="0.25">
      <c r="C13" s="4">
        <f t="shared" si="0"/>
        <v>8</v>
      </c>
    </row>
    <row r="14" spans="1:16" ht="15.75" x14ac:dyDescent="0.25">
      <c r="B14" s="3" t="s">
        <v>76</v>
      </c>
      <c r="C14" s="4">
        <f t="shared" si="0"/>
        <v>9</v>
      </c>
      <c r="D14" s="15" t="s">
        <v>96</v>
      </c>
    </row>
    <row r="15" spans="1:16" x14ac:dyDescent="0.25">
      <c r="C15" s="4">
        <f t="shared" si="0"/>
        <v>10</v>
      </c>
    </row>
    <row r="16" spans="1:16" ht="15.75" x14ac:dyDescent="0.25">
      <c r="B16" s="3" t="s">
        <v>0</v>
      </c>
      <c r="C16" s="4">
        <f t="shared" si="0"/>
        <v>11</v>
      </c>
      <c r="D16" s="15"/>
    </row>
    <row r="17" spans="2:4" x14ac:dyDescent="0.25">
      <c r="C17" s="4">
        <f t="shared" si="0"/>
        <v>12</v>
      </c>
    </row>
    <row r="18" spans="2:4" ht="15.75" x14ac:dyDescent="0.25">
      <c r="B18" s="3" t="s">
        <v>77</v>
      </c>
      <c r="C18" s="4">
        <f t="shared" si="0"/>
        <v>13</v>
      </c>
      <c r="D18" s="15"/>
    </row>
    <row r="19" spans="2:4" x14ac:dyDescent="0.25">
      <c r="C19" s="4">
        <f t="shared" si="0"/>
        <v>14</v>
      </c>
    </row>
    <row r="20" spans="2:4" ht="15.75" x14ac:dyDescent="0.25">
      <c r="B20" s="3" t="s">
        <v>61</v>
      </c>
      <c r="C20" s="4">
        <f t="shared" si="0"/>
        <v>15</v>
      </c>
      <c r="D20" s="15"/>
    </row>
    <row r="21" spans="2:4" x14ac:dyDescent="0.25">
      <c r="C21" s="4">
        <f t="shared" si="0"/>
        <v>16</v>
      </c>
    </row>
    <row r="22" spans="2:4" ht="15.75" x14ac:dyDescent="0.25">
      <c r="B22" s="3" t="s">
        <v>8</v>
      </c>
      <c r="C22" s="4">
        <f t="shared" si="0"/>
        <v>17</v>
      </c>
    </row>
    <row r="23" spans="2:4" x14ac:dyDescent="0.25">
      <c r="C23" s="4">
        <f t="shared" si="0"/>
        <v>18</v>
      </c>
    </row>
    <row r="24" spans="2:4" ht="15.75" x14ac:dyDescent="0.25">
      <c r="B24" s="3" t="s">
        <v>9</v>
      </c>
      <c r="C24" s="4">
        <f t="shared" si="0"/>
        <v>19</v>
      </c>
    </row>
    <row r="25" spans="2:4" x14ac:dyDescent="0.25">
      <c r="C25" s="4">
        <f t="shared" si="0"/>
        <v>20</v>
      </c>
    </row>
    <row r="26" spans="2:4" ht="15.75" x14ac:dyDescent="0.25">
      <c r="B26" s="3" t="s">
        <v>10</v>
      </c>
      <c r="C26" s="4">
        <f t="shared" si="0"/>
        <v>21</v>
      </c>
    </row>
    <row r="27" spans="2:4" x14ac:dyDescent="0.25">
      <c r="C27" s="4">
        <f t="shared" si="0"/>
        <v>22</v>
      </c>
    </row>
    <row r="28" spans="2:4" ht="15.75" x14ac:dyDescent="0.25">
      <c r="B28" s="3" t="s">
        <v>11</v>
      </c>
      <c r="C28" s="4">
        <f t="shared" si="0"/>
        <v>23</v>
      </c>
    </row>
    <row r="29" spans="2:4" x14ac:dyDescent="0.25">
      <c r="C29" s="4">
        <f t="shared" si="0"/>
        <v>24</v>
      </c>
    </row>
    <row r="30" spans="2:4" ht="15.75" x14ac:dyDescent="0.25">
      <c r="B30" s="3" t="s">
        <v>62</v>
      </c>
      <c r="C30" s="4">
        <f t="shared" si="0"/>
        <v>25</v>
      </c>
    </row>
    <row r="31" spans="2:4" x14ac:dyDescent="0.25">
      <c r="C31" s="4">
        <f t="shared" si="0"/>
        <v>26</v>
      </c>
    </row>
    <row r="32" spans="2:4" ht="15.75" x14ac:dyDescent="0.25">
      <c r="B32" s="3" t="s">
        <v>12</v>
      </c>
      <c r="C32" s="4">
        <f t="shared" si="0"/>
        <v>27</v>
      </c>
    </row>
    <row r="33" spans="2:3" x14ac:dyDescent="0.25">
      <c r="C33" s="4">
        <f t="shared" si="0"/>
        <v>28</v>
      </c>
    </row>
    <row r="34" spans="2:3" ht="15.75" x14ac:dyDescent="0.25">
      <c r="B34" s="3" t="s">
        <v>75</v>
      </c>
      <c r="C34" s="4">
        <f t="shared" si="0"/>
        <v>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planner</vt:lpstr>
      <vt:lpstr>standards list</vt:lpstr>
      <vt:lpstr>VARIABLES</vt:lpstr>
      <vt:lpstr>Add_Day</vt:lpstr>
      <vt:lpstr>Hand_Writing</vt:lpstr>
      <vt:lpstr>High_Freq_Words</vt:lpstr>
      <vt:lpstr>Journal</vt:lpstr>
      <vt:lpstr>Lang</vt:lpstr>
      <vt:lpstr>Math</vt:lpstr>
      <vt:lpstr>Phonics</vt:lpstr>
      <vt:lpstr>Science</vt:lpstr>
      <vt:lpstr>Shared_Reading</vt:lpstr>
      <vt:lpstr>Social_Studies</vt:lpstr>
      <vt:lpstr>Spelling</vt:lpstr>
      <vt:lpstr>Writing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dc:creator>
  <cp:lastModifiedBy>ryan</cp:lastModifiedBy>
  <cp:lastPrinted>2013-10-05T06:51:01Z</cp:lastPrinted>
  <dcterms:created xsi:type="dcterms:W3CDTF">2013-09-03T00:17:30Z</dcterms:created>
  <dcterms:modified xsi:type="dcterms:W3CDTF">2013-10-06T22:16:44Z</dcterms:modified>
</cp:coreProperties>
</file>